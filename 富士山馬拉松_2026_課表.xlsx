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課表" sheetId="1" state="visible" r:id="rId1"/>
    <sheet xmlns:r="http://schemas.openxmlformats.org/officeDocument/2006/relationships" name="週總覽" sheetId="2" state="visible" r:id="rId2"/>
  </sheets>
  <definedNames>
    <definedName name="_xlnm._FilterDatabase" localSheetId="0" hidden="1">'課表'!$A$1:$U$69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Arial"/>
      <charset val="1"/>
      <family val="0"/>
      <b val="1"/>
      <sz val="10"/>
    </font>
    <font>
      <name val="Noto Sans CJK SC"/>
      <charset val="1"/>
      <family val="2"/>
      <b val="1"/>
      <sz val="10"/>
    </font>
    <font>
      <name val="Noto Sans CJK SC"/>
      <family val="2"/>
      <b val="1"/>
      <sz val="10"/>
    </font>
    <font>
      <name val="Noto Sans CJK SC"/>
      <charset val="1"/>
      <family val="2"/>
      <i val="1"/>
      <sz val="10"/>
    </font>
    <font>
      <name val="Noto Sans CJK SC"/>
      <charset val="1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E2EFDA"/>
      </patternFill>
    </fill>
    <fill>
      <patternFill patternType="solid">
        <fgColor rgb="FFFFE699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4B084"/>
        <bgColor rgb="FFFF99CC"/>
      </patternFill>
    </fill>
    <fill>
      <patternFill patternType="solid">
        <fgColor rgb="FFFF7C80"/>
        <bgColor rgb="FFFF99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F2F2F2"/>
      <rgbColor rgb="FF660066"/>
      <rgbColor rgb="FFFF7C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2" min="1" max="1"/>
    <col width="7" customWidth="1" style="42" min="2" max="2"/>
    <col width="5" customWidth="1" style="42" min="3" max="3"/>
    <col width="20" customWidth="1" style="42" min="4" max="4"/>
    <col width="10" customWidth="1" style="42" min="5" max="5"/>
    <col width="8" customWidth="1" style="42" min="6" max="6"/>
    <col width="30" customWidth="1" style="42" min="7" max="7"/>
    <col width="42" customWidth="1" style="42" min="8" max="8"/>
    <col width="46" customWidth="1" style="42" min="9" max="9"/>
    <col width="8" customWidth="1" style="42" min="10" max="10"/>
    <col width="6" customWidth="1" style="42" min="11" max="11"/>
    <col width="24" customWidth="1" style="42" min="12" max="12"/>
    <col width="8" customWidth="1" style="42" min="13" max="13"/>
    <col width="9" customWidth="1" style="42" min="14" max="14"/>
    <col width="8" customWidth="1" style="42" min="15" max="16"/>
    <col width="9" customWidth="1" style="42" min="17" max="17"/>
    <col width="8" customWidth="1" style="42" min="18" max="18"/>
    <col width="26" customWidth="1" style="42" min="19" max="19"/>
    <col width="14" customWidth="1" style="42" min="20" max="20"/>
    <col width="18" customWidth="1" style="42" min="21" max="21"/>
  </cols>
  <sheetData>
    <row r="1" ht="30" customHeight="1" s="43">
      <c r="A1" s="44" t="inlineStr">
        <is>
          <t>週</t>
        </is>
      </c>
      <c r="B1" s="44" t="inlineStr">
        <is>
          <t>日期</t>
        </is>
      </c>
      <c r="C1" s="44" t="inlineStr">
        <is>
          <t>星期</t>
        </is>
      </c>
      <c r="D1" s="44" t="inlineStr">
        <is>
          <t>階段</t>
        </is>
      </c>
      <c r="E1" s="44" t="inlineStr">
        <is>
          <t>類型</t>
        </is>
      </c>
      <c r="F1" s="44" t="inlineStr">
        <is>
          <t>計畫 km</t>
        </is>
      </c>
      <c r="G1" s="44" t="inlineStr">
        <is>
          <t>配速 / 心拍</t>
        </is>
      </c>
      <c r="H1" s="44" t="inlineStr">
        <is>
          <t>內容</t>
        </is>
      </c>
      <c r="I1" s="44" t="inlineStr">
        <is>
          <t>備註（補給・肌力・提醒）</t>
        </is>
      </c>
      <c r="J1" s="44" t="inlineStr">
        <is>
          <t>實際 km</t>
        </is>
      </c>
      <c r="K1" s="44" t="inlineStr">
        <is>
          <t>完成</t>
        </is>
      </c>
      <c r="L1" s="44" t="inlineStr">
        <is>
          <t>心得</t>
        </is>
      </c>
      <c r="M1" s="44" t="inlineStr">
        <is>
          <t>時間</t>
        </is>
      </c>
      <c r="N1" s="44" t="inlineStr">
        <is>
          <t>平均配速</t>
        </is>
      </c>
      <c r="O1" s="44" t="inlineStr">
        <is>
          <t>平均心拍</t>
        </is>
      </c>
      <c r="P1" s="44" t="inlineStr">
        <is>
          <t>最大心拍</t>
        </is>
      </c>
      <c r="Q1" s="44" t="inlineStr">
        <is>
          <t>平均功率 W</t>
        </is>
      </c>
      <c r="R1" s="44" t="inlineStr">
        <is>
          <t>卡路里</t>
        </is>
      </c>
      <c r="S1" s="44" t="inlineStr">
        <is>
          <t>天氣 / 氣溫 / 濕度</t>
        </is>
      </c>
      <c r="T1" s="44" t="inlineStr">
        <is>
          <t>鞋</t>
        </is>
      </c>
      <c r="U1" s="44" t="inlineStr">
        <is>
          <t>裝置</t>
        </is>
      </c>
    </row>
    <row r="2" ht="15" customHeight="1" s="43">
      <c r="A2" s="45" t="n">
        <v>1</v>
      </c>
      <c r="B2" s="46" t="n">
        <v>46303</v>
      </c>
      <c r="C2" s="47" t="inlineStr">
        <is>
          <t>四</t>
        </is>
      </c>
      <c r="D2" s="48" t="inlineStr">
        <is>
          <t>第一階段｜重建跑量</t>
        </is>
      </c>
      <c r="E2" s="45" t="inlineStr">
        <is>
          <t>Easy</t>
        </is>
      </c>
      <c r="F2" s="45" t="n">
        <v>6</v>
      </c>
      <c r="G2" s="49" t="inlineStr">
        <is>
          <t>7:15〜7:45 / 心拍 140〜150</t>
        </is>
      </c>
      <c r="H2" s="48" t="inlineStr">
        <is>
          <t>輕鬆跑 6 km</t>
        </is>
      </c>
      <c r="I2" s="48" t="inlineStr">
        <is>
          <t>新鞋/舊鞋都行，先把習慣建起來</t>
        </is>
      </c>
      <c r="J2" s="50" t="n">
        <v>7.27</v>
      </c>
      <c r="K2" s="45" t="inlineStr">
        <is>
          <t>✅</t>
        </is>
      </c>
      <c r="L2" s="51" t="inlineStr">
        <is>
          <t>照課表跑，最後小走一段。Strava 判定 5K PB，心拍偏高（閾值區 79%）</t>
        </is>
      </c>
      <c r="M2" s="50" t="inlineStr">
        <is>
          <t>45:29</t>
        </is>
      </c>
      <c r="N2" s="50" t="inlineStr">
        <is>
          <t>6:15</t>
        </is>
      </c>
      <c r="O2" s="50" t="n">
        <v>169</v>
      </c>
      <c r="P2" s="50" t="n">
        <v>176</v>
      </c>
      <c r="Q2" s="50" t="n">
        <v>171</v>
      </c>
      <c r="R2" s="50" t="n">
        <v>498</v>
      </c>
      <c r="S2" s="52" t="inlineStr">
        <is>
          <t>晴れ 19°C / 濕度 77% / 東南東風 5 km/h</t>
        </is>
      </c>
      <c r="T2" s="50" t="inlineStr">
        <is>
          <t>Adidas EVO SL</t>
        </is>
      </c>
      <c r="U2" s="50" t="inlineStr">
        <is>
          <t>Apple Watch Series 11</t>
        </is>
      </c>
    </row>
    <row r="3" ht="15" customHeight="1" s="43">
      <c r="A3" s="53" t="n">
        <v>1</v>
      </c>
      <c r="B3" s="54" t="n">
        <v>46304</v>
      </c>
      <c r="C3" s="55" t="inlineStr">
        <is>
          <t>五</t>
        </is>
      </c>
      <c r="D3" s="56" t="inlineStr">
        <is>
          <t>第一階段｜重建跑量</t>
        </is>
      </c>
      <c r="E3" s="55" t="inlineStr">
        <is>
          <t>休息</t>
        </is>
      </c>
      <c r="F3" s="53" t="n">
        <v>0</v>
      </c>
      <c r="G3" s="56" t="n"/>
      <c r="H3" s="56" t="inlineStr">
        <is>
          <t>休息</t>
        </is>
      </c>
      <c r="I3" s="56" t="n"/>
      <c r="J3" s="50" t="n"/>
      <c r="K3" s="53" t="n"/>
      <c r="L3" s="51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</row>
    <row r="4" ht="15" customHeight="1" s="43">
      <c r="A4" s="45" t="n">
        <v>1</v>
      </c>
      <c r="B4" s="46" t="n">
        <v>46305</v>
      </c>
      <c r="C4" s="47" t="inlineStr">
        <is>
          <t>六</t>
        </is>
      </c>
      <c r="D4" s="48" t="inlineStr">
        <is>
          <t>第一階段｜重建跑量</t>
        </is>
      </c>
      <c r="E4" s="45" t="inlineStr">
        <is>
          <t>Easy</t>
        </is>
      </c>
      <c r="F4" s="45" t="n">
        <v>5</v>
      </c>
      <c r="G4" s="49" t="inlineStr">
        <is>
          <t>7:15〜7:45 / 心拍 140〜150</t>
        </is>
      </c>
      <c r="H4" s="48" t="inlineStr">
        <is>
          <t>輕鬆跑 5 km</t>
        </is>
      </c>
      <c r="I4" s="49" t="n"/>
      <c r="J4" s="50" t="n">
        <v>5.22</v>
      </c>
      <c r="K4" s="45" t="inlineStr">
        <is>
          <t>✅</t>
        </is>
      </c>
      <c r="L4" s="51" t="inlineStr">
        <is>
          <t>第一次成功壓住心拍的 Easy，GAP 7:03。第1km 6:23 偏快，後段心拍 141→156 微爬。路線爬升 91m 適合富士山 ／ 下午另做 Hyrox 58分（6站×2分），平均心拍152，難度9，隔天下半身痠痛</t>
        </is>
      </c>
      <c r="M4" s="50" t="inlineStr">
        <is>
          <t>38:40</t>
        </is>
      </c>
      <c r="N4" s="50" t="inlineStr">
        <is>
          <t>7:25</t>
        </is>
      </c>
      <c r="O4" s="50" t="n">
        <v>150</v>
      </c>
      <c r="P4" s="50" t="n">
        <v>160</v>
      </c>
      <c r="Q4" s="50" t="n"/>
      <c r="R4" s="50" t="n">
        <v>355</v>
      </c>
      <c r="S4" s="50" t="inlineStr">
        <is>
          <t>晴 19°C / 體感 21°C / 濕度 77% / 北風 7.2 km/h</t>
        </is>
      </c>
      <c r="T4" s="50" t="inlineStr">
        <is>
          <t>Adidas EVO SL</t>
        </is>
      </c>
      <c r="U4" s="50" t="inlineStr">
        <is>
          <t>Apple Watch Series 11</t>
        </is>
      </c>
    </row>
    <row r="5" ht="15" customHeight="1" s="43">
      <c r="A5" s="57" t="n">
        <v>1</v>
      </c>
      <c r="B5" s="58" t="n">
        <v>46306</v>
      </c>
      <c r="C5" s="59" t="inlineStr">
        <is>
          <t>日</t>
        </is>
      </c>
      <c r="D5" s="60" t="inlineStr">
        <is>
          <t>第一階段｜重建跑量</t>
        </is>
      </c>
      <c r="E5" s="57" t="inlineStr">
        <is>
          <t>Long</t>
        </is>
      </c>
      <c r="F5" s="57" t="n">
        <v>12</v>
      </c>
      <c r="G5" s="61" t="inlineStr">
        <is>
          <t>7:20〜7:50</t>
        </is>
      </c>
      <c r="H5" s="60" t="inlineStr">
        <is>
          <t>長跑 12 km，全程聊天配速</t>
        </is>
      </c>
      <c r="I5" s="60" t="inlineStr">
        <is>
          <t>跑完記錄心拍，當基準</t>
        </is>
      </c>
      <c r="J5" s="62" t="n">
        <v>12.3</v>
      </c>
      <c r="K5" s="57" t="inlineStr">
        <is>
          <t>✅</t>
        </is>
      </c>
      <c r="L5" s="63" t="inlineStr">
        <is>
          <t>第一次長跑。前半心拍146/後半152漂移+6，合格。前2km 7:19/7:13 偏快。4km處買水。前日Hyrox腿痠、27°C仍壓住心拍。基準線：27°C/HR149/7:40</t>
        </is>
      </c>
      <c r="M5" s="50" t="inlineStr">
        <is>
          <t>1:36:09</t>
        </is>
      </c>
      <c r="N5" s="50" t="inlineStr">
        <is>
          <t>7:47</t>
        </is>
      </c>
      <c r="O5" s="50" t="n">
        <v>149</v>
      </c>
      <c r="P5" s="50" t="n">
        <v>162</v>
      </c>
      <c r="Q5" s="50" t="n">
        <v>138</v>
      </c>
      <c r="R5" s="50" t="n"/>
      <c r="S5" s="50" t="inlineStr">
        <is>
          <t>晴 27°C / 體感 28°C / 濕度 46% / 北東風 10.4 km/h</t>
        </is>
      </c>
      <c r="T5" s="50" t="inlineStr">
        <is>
          <t>Adidas EVO SL</t>
        </is>
      </c>
      <c r="U5" s="50" t="inlineStr">
        <is>
          <t>Apple Watch Series 11</t>
        </is>
      </c>
    </row>
    <row r="6" ht="29.25" customHeight="1" s="43">
      <c r="A6" s="53" t="n">
        <v>2</v>
      </c>
      <c r="B6" s="54" t="n">
        <v>46307</v>
      </c>
      <c r="C6" s="55" t="inlineStr">
        <is>
          <t>一</t>
        </is>
      </c>
      <c r="D6" s="56" t="inlineStr">
        <is>
          <t>第一階段｜重建跑量</t>
        </is>
      </c>
      <c r="E6" s="55" t="inlineStr">
        <is>
          <t>休息</t>
        </is>
      </c>
      <c r="F6" s="53" t="n">
        <v>0</v>
      </c>
      <c r="G6" s="56" t="n"/>
      <c r="H6" s="56" t="inlineStr">
        <is>
          <t>休息</t>
        </is>
      </c>
      <c r="I6" s="56" t="inlineStr">
        <is>
          <t>完全休息。走路 20〜30 分 + 伸展滾筒（小腿／股四頭／臀）。腿痠散掉再跑</t>
        </is>
      </c>
      <c r="J6" s="50" t="n"/>
      <c r="K6" s="53" t="n"/>
      <c r="L6" s="51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</row>
    <row r="7" ht="15" customHeight="1" s="43">
      <c r="A7" s="45" t="n">
        <v>2</v>
      </c>
      <c r="B7" s="46" t="n">
        <v>46308</v>
      </c>
      <c r="C7" s="47" t="inlineStr">
        <is>
          <t>二</t>
        </is>
      </c>
      <c r="D7" s="48" t="inlineStr">
        <is>
          <t>第一階段｜重建跑量</t>
        </is>
      </c>
      <c r="E7" s="45" t="inlineStr">
        <is>
          <t>Easy</t>
        </is>
      </c>
      <c r="F7" s="45" t="n">
        <v>6</v>
      </c>
      <c r="G7" s="49" t="inlineStr">
        <is>
          <t>7:15〜7:45 / 心拍 140〜150</t>
        </is>
      </c>
      <c r="H7" s="48" t="inlineStr">
        <is>
          <t>輕鬆跑 6 km</t>
        </is>
      </c>
      <c r="I7" s="49" t="n"/>
      <c r="J7" s="50" t="n"/>
      <c r="K7" s="45" t="n"/>
      <c r="L7" s="51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</row>
    <row r="8" ht="15" customHeight="1" s="43">
      <c r="A8" s="64" t="n">
        <v>2</v>
      </c>
      <c r="B8" s="65" t="n">
        <v>46309</v>
      </c>
      <c r="C8" s="66" t="inlineStr">
        <is>
          <t>三</t>
        </is>
      </c>
      <c r="D8" s="67" t="inlineStr">
        <is>
          <t>第一階段｜重建跑量</t>
        </is>
      </c>
      <c r="E8" s="64" t="inlineStr">
        <is>
          <t>MP</t>
        </is>
      </c>
      <c r="F8" s="64" t="n">
        <v>7</v>
      </c>
      <c r="G8" s="68" t="inlineStr">
        <is>
          <t>MP 段 6:35〜6:50</t>
        </is>
      </c>
      <c r="H8" s="68" t="inlineStr">
        <is>
          <t>2 km Easy + 3 km @ MP + 2 km Easy</t>
        </is>
      </c>
      <c r="I8" s="68" t="inlineStr">
        <is>
          <t>MP 段心拍不要超過 165</t>
        </is>
      </c>
      <c r="J8" s="50" t="n"/>
      <c r="K8" s="64" t="n"/>
      <c r="L8" s="51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</row>
    <row r="9" ht="29.25" customHeight="1" s="43">
      <c r="A9" s="53" t="n">
        <v>2</v>
      </c>
      <c r="B9" s="54" t="n">
        <v>46310</v>
      </c>
      <c r="C9" s="55" t="inlineStr">
        <is>
          <t>四</t>
        </is>
      </c>
      <c r="D9" s="56" t="inlineStr">
        <is>
          <t>第一階段｜重建跑量</t>
        </is>
      </c>
      <c r="E9" s="55" t="inlineStr">
        <is>
          <t>休息</t>
        </is>
      </c>
      <c r="F9" s="53" t="n">
        <v>0</v>
      </c>
      <c r="G9" s="56" t="n"/>
      <c r="H9" s="56" t="inlineStr">
        <is>
          <t>休息</t>
        </is>
      </c>
      <c r="I9" s="56" t="inlineStr">
        <is>
          <t>休息。本週肌力由 10/17 Hyrox 取代，不做核心</t>
        </is>
      </c>
      <c r="J9" s="50" t="n"/>
      <c r="K9" s="53" t="n"/>
      <c r="L9" s="51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</row>
    <row r="10" ht="15" customHeight="1" s="43">
      <c r="A10" s="45" t="n">
        <v>2</v>
      </c>
      <c r="B10" s="46" t="n">
        <v>46311</v>
      </c>
      <c r="C10" s="47" t="inlineStr">
        <is>
          <t>五</t>
        </is>
      </c>
      <c r="D10" s="48" t="inlineStr">
        <is>
          <t>第一階段｜重建跑量</t>
        </is>
      </c>
      <c r="E10" s="45" t="inlineStr">
        <is>
          <t>Recovery</t>
        </is>
      </c>
      <c r="F10" s="45" t="n">
        <v>4</v>
      </c>
      <c r="G10" s="49" t="inlineStr">
        <is>
          <t>心拍 ≤140 / 7:45+</t>
        </is>
      </c>
      <c r="H10" s="48" t="inlineStr">
        <is>
          <t>恢復跑 4 km</t>
        </is>
      </c>
      <c r="I10" s="49" t="inlineStr">
        <is>
          <t>隔天 Hyrox，只活動腿，心拍超過 145 就走</t>
        </is>
      </c>
      <c r="J10" s="50" t="n"/>
      <c r="K10" s="45" t="n"/>
      <c r="L10" s="51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</row>
    <row r="11" ht="15" customHeight="1" s="43">
      <c r="A11" s="53" t="n">
        <v>2</v>
      </c>
      <c r="B11" s="54" t="n">
        <v>46312</v>
      </c>
      <c r="C11" s="55" t="inlineStr">
        <is>
          <t>六</t>
        </is>
      </c>
      <c r="D11" s="56" t="inlineStr">
        <is>
          <t>第一階段｜重建跑量</t>
        </is>
      </c>
      <c r="E11" s="55" t="inlineStr">
        <is>
          <t>肌力</t>
        </is>
      </c>
      <c r="F11" s="53" t="n">
        <v>0</v>
      </c>
      <c r="G11" s="56" t="n"/>
      <c r="H11" s="56" t="inlineStr">
        <is>
          <t>Hyrox（已約）</t>
        </is>
      </c>
      <c r="I11" s="56" t="inlineStr">
        <is>
          <t>難度 6〜7，站間休夠，心拍不衝 160+。這週肌力就是這場</t>
        </is>
      </c>
      <c r="J11" s="50" t="n"/>
      <c r="K11" s="53" t="n"/>
      <c r="L11" s="51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</row>
    <row r="12" ht="15" customHeight="1" s="43">
      <c r="A12" s="57" t="n">
        <v>2</v>
      </c>
      <c r="B12" s="58" t="n">
        <v>46313</v>
      </c>
      <c r="C12" s="59" t="inlineStr">
        <is>
          <t>日</t>
        </is>
      </c>
      <c r="D12" s="60" t="inlineStr">
        <is>
          <t>第一階段｜重建跑量</t>
        </is>
      </c>
      <c r="E12" s="57" t="inlineStr">
        <is>
          <t>Long</t>
        </is>
      </c>
      <c r="F12" s="57" t="n">
        <v>14</v>
      </c>
      <c r="G12" s="61" t="inlineStr">
        <is>
          <t>7:15〜7:45</t>
        </is>
      </c>
      <c r="H12" s="60" t="inlineStr">
        <is>
          <t>長跑 14 km</t>
        </is>
      </c>
      <c r="I12" s="61" t="inlineStr">
        <is>
          <t>前日 Hyrox。目標只有完成＋心拍 ≤150，配速掉到 8:00 也可。隔天腿痠 &gt;1 天＝Hyrox 強度太高</t>
        </is>
      </c>
      <c r="J12" s="62" t="n"/>
      <c r="K12" s="57" t="n"/>
      <c r="L12" s="63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</row>
    <row r="13" ht="29.25" customHeight="1" s="43">
      <c r="A13" s="53" t="n">
        <v>3</v>
      </c>
      <c r="B13" s="54" t="n">
        <v>46314</v>
      </c>
      <c r="C13" s="55" t="inlineStr">
        <is>
          <t>一</t>
        </is>
      </c>
      <c r="D13" s="56" t="inlineStr">
        <is>
          <t>第一階段｜重建跑量</t>
        </is>
      </c>
      <c r="E13" s="55" t="inlineStr">
        <is>
          <t>休息</t>
        </is>
      </c>
      <c r="F13" s="53" t="n">
        <v>0</v>
      </c>
      <c r="G13" s="56" t="n"/>
      <c r="H13" s="56" t="inlineStr">
        <is>
          <t>休息</t>
        </is>
      </c>
      <c r="I13" s="56" t="n"/>
      <c r="J13" s="50" t="n"/>
      <c r="K13" s="53" t="n"/>
      <c r="L13" s="51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</row>
    <row r="14" ht="15" customHeight="1" s="43">
      <c r="A14" s="45" t="n">
        <v>3</v>
      </c>
      <c r="B14" s="46" t="n">
        <v>46315</v>
      </c>
      <c r="C14" s="47" t="inlineStr">
        <is>
          <t>二</t>
        </is>
      </c>
      <c r="D14" s="48" t="inlineStr">
        <is>
          <t>第一階段｜重建跑量</t>
        </is>
      </c>
      <c r="E14" s="45" t="inlineStr">
        <is>
          <t>Easy</t>
        </is>
      </c>
      <c r="F14" s="45" t="n">
        <v>6</v>
      </c>
      <c r="G14" s="49" t="inlineStr">
        <is>
          <t>7:15〜7:45 / 心拍 140〜150</t>
        </is>
      </c>
      <c r="H14" s="48" t="inlineStr">
        <is>
          <t>輕鬆跑 6 km</t>
        </is>
      </c>
      <c r="I14" s="49" t="n"/>
      <c r="J14" s="50" t="n"/>
      <c r="K14" s="45" t="n"/>
      <c r="L14" s="51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</row>
    <row r="15" ht="26.25" customHeight="1" s="43">
      <c r="A15" s="64" t="n">
        <v>3</v>
      </c>
      <c r="B15" s="65" t="n">
        <v>46316</v>
      </c>
      <c r="C15" s="66" t="inlineStr">
        <is>
          <t>三</t>
        </is>
      </c>
      <c r="D15" s="67" t="inlineStr">
        <is>
          <t>第一階段｜重建跑量</t>
        </is>
      </c>
      <c r="E15" s="66" t="inlineStr">
        <is>
          <t>坡跑</t>
        </is>
      </c>
      <c r="F15" s="64" t="n">
        <v>8</v>
      </c>
      <c r="G15" s="67" t="inlineStr">
        <is>
          <t>上坡 6:00 以內 / 下坡慢跑</t>
        </is>
      </c>
      <c r="H15" s="68" t="inlineStr">
        <is>
          <t>2 km Easy + 5×90 秒上坡（慢跑下坡回復）+ 2 km Easy</t>
        </is>
      </c>
      <c r="I15" s="67" t="inlineStr">
        <is>
          <t>模擬富士山 20〜30 km 河口湖→西湖爬坡</t>
        </is>
      </c>
      <c r="J15" s="50" t="n"/>
      <c r="K15" s="64" t="n"/>
      <c r="L15" s="51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</row>
    <row r="16" ht="29.25" customHeight="1" s="43">
      <c r="A16" s="53" t="n">
        <v>3</v>
      </c>
      <c r="B16" s="54" t="n">
        <v>46317</v>
      </c>
      <c r="C16" s="55" t="inlineStr">
        <is>
          <t>四</t>
        </is>
      </c>
      <c r="D16" s="56" t="inlineStr">
        <is>
          <t>第一階段｜重建跑量</t>
        </is>
      </c>
      <c r="E16" s="55" t="inlineStr">
        <is>
          <t>休息</t>
        </is>
      </c>
      <c r="F16" s="53" t="n">
        <v>0</v>
      </c>
      <c r="G16" s="56" t="n"/>
      <c r="H16" s="56" t="inlineStr">
        <is>
          <t>休息</t>
        </is>
      </c>
      <c r="I16" s="56" t="inlineStr">
        <is>
          <t>肌力日：Hyrox 或 15 分鐘核心＋臀腿 擇一，難度 6〜7，不要跑到心拍 160+</t>
        </is>
      </c>
      <c r="J16" s="50" t="n"/>
      <c r="K16" s="53" t="n"/>
      <c r="L16" s="51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</row>
    <row r="17" ht="15" customHeight="1" s="43">
      <c r="A17" s="45" t="n">
        <v>3</v>
      </c>
      <c r="B17" s="46" t="n">
        <v>46318</v>
      </c>
      <c r="C17" s="47" t="inlineStr">
        <is>
          <t>五</t>
        </is>
      </c>
      <c r="D17" s="48" t="inlineStr">
        <is>
          <t>第一階段｜重建跑量</t>
        </is>
      </c>
      <c r="E17" s="45" t="inlineStr">
        <is>
          <t>Easy</t>
        </is>
      </c>
      <c r="F17" s="45" t="n">
        <v>6</v>
      </c>
      <c r="G17" s="49" t="inlineStr">
        <is>
          <t>7:15〜7:45 / 心拍 140〜150</t>
        </is>
      </c>
      <c r="H17" s="48" t="inlineStr">
        <is>
          <t>輕鬆跑 6 km</t>
        </is>
      </c>
      <c r="I17" s="49" t="n"/>
      <c r="J17" s="50" t="n"/>
      <c r="K17" s="45" t="n"/>
      <c r="L17" s="51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</row>
    <row r="18" ht="15" customHeight="1" s="43">
      <c r="A18" s="53" t="n">
        <v>3</v>
      </c>
      <c r="B18" s="54" t="n">
        <v>46319</v>
      </c>
      <c r="C18" s="55" t="inlineStr">
        <is>
          <t>六</t>
        </is>
      </c>
      <c r="D18" s="56" t="inlineStr">
        <is>
          <t>第一階段｜重建跑量</t>
        </is>
      </c>
      <c r="E18" s="55" t="inlineStr">
        <is>
          <t>休息</t>
        </is>
      </c>
      <c r="F18" s="53" t="n">
        <v>0</v>
      </c>
      <c r="G18" s="56" t="n"/>
      <c r="H18" s="56" t="inlineStr">
        <is>
          <t>休息</t>
        </is>
      </c>
      <c r="I18" s="56" t="n"/>
      <c r="J18" s="50" t="n"/>
      <c r="K18" s="53" t="n"/>
      <c r="L18" s="51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</row>
    <row r="19" ht="15" customHeight="1" s="43">
      <c r="A19" s="57" t="n">
        <v>3</v>
      </c>
      <c r="B19" s="58" t="n">
        <v>46320</v>
      </c>
      <c r="C19" s="59" t="inlineStr">
        <is>
          <t>日</t>
        </is>
      </c>
      <c r="D19" s="60" t="inlineStr">
        <is>
          <t>第一階段｜重建跑量</t>
        </is>
      </c>
      <c r="E19" s="57" t="inlineStr">
        <is>
          <t>Long</t>
        </is>
      </c>
      <c r="F19" s="57" t="n">
        <v>16</v>
      </c>
      <c r="G19" s="61" t="inlineStr">
        <is>
          <t>7:10〜7:40</t>
        </is>
      </c>
      <c r="H19" s="60" t="inlineStr">
        <is>
          <t>長跑 16 km</t>
        </is>
      </c>
      <c r="I19" s="60" t="inlineStr">
        <is>
          <t>找有起伏的路線（駒沢、代代木）</t>
        </is>
      </c>
      <c r="J19" s="62" t="n"/>
      <c r="K19" s="57" t="n"/>
      <c r="L19" s="63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</row>
    <row r="20" ht="29.25" customHeight="1" s="43">
      <c r="A20" s="53" t="n">
        <v>4</v>
      </c>
      <c r="B20" s="54" t="n">
        <v>46321</v>
      </c>
      <c r="C20" s="55" t="inlineStr">
        <is>
          <t>一</t>
        </is>
      </c>
      <c r="D20" s="56" t="inlineStr">
        <is>
          <t>第二階段｜馬拉松訓練</t>
        </is>
      </c>
      <c r="E20" s="55" t="inlineStr">
        <is>
          <t>休息</t>
        </is>
      </c>
      <c r="F20" s="53" t="n">
        <v>0</v>
      </c>
      <c r="G20" s="56" t="n"/>
      <c r="H20" s="56" t="inlineStr">
        <is>
          <t>休息</t>
        </is>
      </c>
      <c r="I20" s="56" t="n"/>
      <c r="J20" s="50" t="n"/>
      <c r="K20" s="53" t="n"/>
      <c r="L20" s="51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</row>
    <row r="21" ht="15" customHeight="1" s="43">
      <c r="A21" s="45" t="n">
        <v>4</v>
      </c>
      <c r="B21" s="46" t="n">
        <v>46322</v>
      </c>
      <c r="C21" s="47" t="inlineStr">
        <is>
          <t>二</t>
        </is>
      </c>
      <c r="D21" s="48" t="inlineStr">
        <is>
          <t>第二階段｜馬拉松訓練</t>
        </is>
      </c>
      <c r="E21" s="45" t="inlineStr">
        <is>
          <t>Easy</t>
        </is>
      </c>
      <c r="F21" s="45" t="n">
        <v>7</v>
      </c>
      <c r="G21" s="49" t="inlineStr">
        <is>
          <t>7:15〜7:45 / 心拍 140〜150</t>
        </is>
      </c>
      <c r="H21" s="48" t="inlineStr">
        <is>
          <t>輕鬆跑 7 km</t>
        </is>
      </c>
      <c r="I21" s="49" t="n"/>
      <c r="J21" s="50" t="n"/>
      <c r="K21" s="45" t="n"/>
      <c r="L21" s="51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</row>
    <row r="22" ht="15" customHeight="1" s="43">
      <c r="A22" s="64" t="n">
        <v>4</v>
      </c>
      <c r="B22" s="65" t="n">
        <v>46323</v>
      </c>
      <c r="C22" s="66" t="inlineStr">
        <is>
          <t>三</t>
        </is>
      </c>
      <c r="D22" s="67" t="inlineStr">
        <is>
          <t>第二階段｜馬拉松訓練</t>
        </is>
      </c>
      <c r="E22" s="64" t="inlineStr">
        <is>
          <t>MP</t>
        </is>
      </c>
      <c r="F22" s="64" t="n">
        <v>9</v>
      </c>
      <c r="G22" s="68" t="inlineStr">
        <is>
          <t>MP 段 6:40〜6:50</t>
        </is>
      </c>
      <c r="H22" s="68" t="inlineStr">
        <is>
          <t>3 km Easy + 5 km @ 6:40 + 1 km Easy</t>
        </is>
      </c>
      <c r="I22" s="68" t="n"/>
      <c r="J22" s="50" t="n"/>
      <c r="K22" s="64" t="n"/>
      <c r="L22" s="51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</row>
    <row r="23" ht="29.25" customHeight="1" s="43">
      <c r="A23" s="53" t="n">
        <v>4</v>
      </c>
      <c r="B23" s="54" t="n">
        <v>46324</v>
      </c>
      <c r="C23" s="55" t="inlineStr">
        <is>
          <t>四</t>
        </is>
      </c>
      <c r="D23" s="56" t="inlineStr">
        <is>
          <t>第二階段｜馬拉松訓練</t>
        </is>
      </c>
      <c r="E23" s="55" t="inlineStr">
        <is>
          <t>休息</t>
        </is>
      </c>
      <c r="F23" s="53" t="n">
        <v>0</v>
      </c>
      <c r="G23" s="56" t="n"/>
      <c r="H23" s="56" t="inlineStr">
        <is>
          <t>休息</t>
        </is>
      </c>
      <c r="I23" s="56" t="inlineStr">
        <is>
          <t>肌力日：Hyrox 或 15 分鐘核心＋臀腿 擇一，難度 6〜7，不要跑到心拍 160+</t>
        </is>
      </c>
      <c r="J23" s="50" t="n"/>
      <c r="K23" s="53" t="n"/>
      <c r="L23" s="51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</row>
    <row r="24" ht="15" customHeight="1" s="43">
      <c r="A24" s="45" t="n">
        <v>4</v>
      </c>
      <c r="B24" s="46" t="n">
        <v>46325</v>
      </c>
      <c r="C24" s="47" t="inlineStr">
        <is>
          <t>五</t>
        </is>
      </c>
      <c r="D24" s="48" t="inlineStr">
        <is>
          <t>第二階段｜馬拉松訓練</t>
        </is>
      </c>
      <c r="E24" s="45" t="inlineStr">
        <is>
          <t>Easy</t>
        </is>
      </c>
      <c r="F24" s="45" t="n">
        <v>6</v>
      </c>
      <c r="G24" s="49" t="inlineStr">
        <is>
          <t>7:15〜7:45 / 心拍 140〜150</t>
        </is>
      </c>
      <c r="H24" s="48" t="inlineStr">
        <is>
          <t>輕鬆跑 6 km</t>
        </is>
      </c>
      <c r="I24" s="49" t="n"/>
      <c r="J24" s="50" t="n"/>
      <c r="K24" s="45" t="n"/>
      <c r="L24" s="51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</row>
    <row r="25" ht="15" customHeight="1" s="43">
      <c r="A25" s="53" t="n">
        <v>4</v>
      </c>
      <c r="B25" s="54" t="n">
        <v>46326</v>
      </c>
      <c r="C25" s="55" t="inlineStr">
        <is>
          <t>六</t>
        </is>
      </c>
      <c r="D25" s="56" t="inlineStr">
        <is>
          <t>第二階段｜馬拉松訓練</t>
        </is>
      </c>
      <c r="E25" s="55" t="inlineStr">
        <is>
          <t>休息</t>
        </is>
      </c>
      <c r="F25" s="53" t="n">
        <v>0</v>
      </c>
      <c r="G25" s="56" t="n"/>
      <c r="H25" s="56" t="inlineStr">
        <is>
          <t>休息</t>
        </is>
      </c>
      <c r="I25" s="56" t="n"/>
      <c r="J25" s="50" t="n"/>
      <c r="K25" s="53" t="n"/>
      <c r="L25" s="51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</row>
    <row r="26" ht="15" customHeight="1" s="43">
      <c r="A26" s="57" t="n">
        <v>4</v>
      </c>
      <c r="B26" s="58" t="n">
        <v>46327</v>
      </c>
      <c r="C26" s="59" t="inlineStr">
        <is>
          <t>日</t>
        </is>
      </c>
      <c r="D26" s="60" t="inlineStr">
        <is>
          <t>第二階段｜馬拉松訓練</t>
        </is>
      </c>
      <c r="E26" s="57" t="inlineStr">
        <is>
          <t>Long</t>
        </is>
      </c>
      <c r="F26" s="57" t="n">
        <v>18</v>
      </c>
      <c r="G26" s="61" t="inlineStr">
        <is>
          <t>7:10〜7:40 / 心拍 ≤155</t>
        </is>
      </c>
      <c r="H26" s="60" t="inlineStr">
        <is>
          <t>長跑 18 km，最後 4 km @ 6:45</t>
        </is>
      </c>
      <c r="I26" s="60" t="inlineStr">
        <is>
          <t>每 40 分 1 包能量膠＋水，測試腸胃；穿比賽衣褲</t>
        </is>
      </c>
      <c r="J26" s="62" t="n"/>
      <c r="K26" s="57" t="n"/>
      <c r="L26" s="63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</row>
    <row r="27" ht="29.25" customHeight="1" s="43">
      <c r="A27" s="53" t="n">
        <v>5</v>
      </c>
      <c r="B27" s="54" t="n">
        <v>46328</v>
      </c>
      <c r="C27" s="55" t="inlineStr">
        <is>
          <t>一</t>
        </is>
      </c>
      <c r="D27" s="56" t="inlineStr">
        <is>
          <t>第二階段｜馬拉松訓練</t>
        </is>
      </c>
      <c r="E27" s="55" t="inlineStr">
        <is>
          <t>休息</t>
        </is>
      </c>
      <c r="F27" s="53" t="n">
        <v>0</v>
      </c>
      <c r="G27" s="56" t="n"/>
      <c r="H27" s="56" t="inlineStr">
        <is>
          <t>休息</t>
        </is>
      </c>
      <c r="I27" s="56" t="n"/>
      <c r="J27" s="50" t="n"/>
      <c r="K27" s="53" t="n"/>
      <c r="L27" s="51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</row>
    <row r="28" ht="15" customHeight="1" s="43">
      <c r="A28" s="45" t="n">
        <v>5</v>
      </c>
      <c r="B28" s="46" t="n">
        <v>46329</v>
      </c>
      <c r="C28" s="47" t="inlineStr">
        <is>
          <t>二</t>
        </is>
      </c>
      <c r="D28" s="48" t="inlineStr">
        <is>
          <t>第二階段｜馬拉松訓練</t>
        </is>
      </c>
      <c r="E28" s="45" t="inlineStr">
        <is>
          <t>Easy</t>
        </is>
      </c>
      <c r="F28" s="45" t="n">
        <v>7</v>
      </c>
      <c r="G28" s="49" t="inlineStr">
        <is>
          <t>7:15〜7:45 / 心拍 140〜150</t>
        </is>
      </c>
      <c r="H28" s="48" t="inlineStr">
        <is>
          <t>輕鬆跑 7 km</t>
        </is>
      </c>
      <c r="I28" s="49" t="n"/>
      <c r="J28" s="50" t="n"/>
      <c r="K28" s="45" t="n"/>
      <c r="L28" s="51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</row>
    <row r="29" ht="15" customHeight="1" s="43">
      <c r="A29" s="64" t="n">
        <v>5</v>
      </c>
      <c r="B29" s="65" t="n">
        <v>46330</v>
      </c>
      <c r="C29" s="66" t="inlineStr">
        <is>
          <t>三</t>
        </is>
      </c>
      <c r="D29" s="67" t="inlineStr">
        <is>
          <t>第二階段｜馬拉松訓練</t>
        </is>
      </c>
      <c r="E29" s="66" t="inlineStr">
        <is>
          <t>坡跑</t>
        </is>
      </c>
      <c r="F29" s="64" t="n">
        <v>8</v>
      </c>
      <c r="G29" s="67" t="inlineStr">
        <is>
          <t>上坡 6:00 以內</t>
        </is>
      </c>
      <c r="H29" s="68" t="inlineStr">
        <is>
          <t>2 km Easy + 6×90 秒上坡 + 2 km Easy</t>
        </is>
      </c>
      <c r="I29" s="68" t="n"/>
      <c r="J29" s="50" t="n"/>
      <c r="K29" s="64" t="n"/>
      <c r="L29" s="51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</row>
    <row r="30" ht="29.25" customHeight="1" s="43">
      <c r="A30" s="53" t="n">
        <v>5</v>
      </c>
      <c r="B30" s="54" t="n">
        <v>46331</v>
      </c>
      <c r="C30" s="55" t="inlineStr">
        <is>
          <t>四</t>
        </is>
      </c>
      <c r="D30" s="56" t="inlineStr">
        <is>
          <t>第二階段｜馬拉松訓練</t>
        </is>
      </c>
      <c r="E30" s="55" t="inlineStr">
        <is>
          <t>Recovery</t>
        </is>
      </c>
      <c r="F30" s="53" t="n">
        <v>5</v>
      </c>
      <c r="G30" s="56" t="inlineStr">
        <is>
          <t>心拍 ≤140</t>
        </is>
      </c>
      <c r="H30" s="56" t="inlineStr">
        <is>
          <t>恢復跑 4〜5 km（與肌力同日，兩者都輕）</t>
        </is>
      </c>
      <c r="I30" s="56" t="inlineStr">
        <is>
          <t>肌力日：Hyrox 或 15 分鐘核心＋臀腿 擇一，難度 6〜7，不要跑到心拍 160+</t>
        </is>
      </c>
      <c r="J30" s="50" t="n"/>
      <c r="K30" s="53" t="n"/>
      <c r="L30" s="51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</row>
    <row r="31" ht="15" customHeight="1" s="43">
      <c r="A31" s="45" t="n">
        <v>5</v>
      </c>
      <c r="B31" s="46" t="n">
        <v>46332</v>
      </c>
      <c r="C31" s="47" t="inlineStr">
        <is>
          <t>五</t>
        </is>
      </c>
      <c r="D31" s="48" t="inlineStr">
        <is>
          <t>第二階段｜馬拉松訓練</t>
        </is>
      </c>
      <c r="E31" s="45" t="inlineStr">
        <is>
          <t>Easy</t>
        </is>
      </c>
      <c r="F31" s="45" t="n">
        <v>6</v>
      </c>
      <c r="G31" s="49" t="inlineStr">
        <is>
          <t>7:15〜7:45 / 心拍 140〜150</t>
        </is>
      </c>
      <c r="H31" s="48" t="inlineStr">
        <is>
          <t>輕鬆跑 6 km</t>
        </is>
      </c>
      <c r="I31" s="49" t="n"/>
      <c r="J31" s="50" t="n"/>
      <c r="K31" s="45" t="n"/>
      <c r="L31" s="51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</row>
    <row r="32" ht="15" customHeight="1" s="43">
      <c r="A32" s="53" t="n">
        <v>5</v>
      </c>
      <c r="B32" s="54" t="n">
        <v>46333</v>
      </c>
      <c r="C32" s="55" t="inlineStr">
        <is>
          <t>六</t>
        </is>
      </c>
      <c r="D32" s="56" t="inlineStr">
        <is>
          <t>第二階段｜馬拉松訓練</t>
        </is>
      </c>
      <c r="E32" s="55" t="inlineStr">
        <is>
          <t>休息</t>
        </is>
      </c>
      <c r="F32" s="53" t="n">
        <v>0</v>
      </c>
      <c r="G32" s="56" t="n"/>
      <c r="H32" s="56" t="inlineStr">
        <is>
          <t>休息</t>
        </is>
      </c>
      <c r="I32" s="56" t="n"/>
      <c r="J32" s="50" t="n"/>
      <c r="K32" s="53" t="n"/>
      <c r="L32" s="51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</row>
    <row r="33" ht="15" customHeight="1" s="43">
      <c r="A33" s="57" t="n">
        <v>5</v>
      </c>
      <c r="B33" s="58" t="n">
        <v>46334</v>
      </c>
      <c r="C33" s="59" t="inlineStr">
        <is>
          <t>日</t>
        </is>
      </c>
      <c r="D33" s="60" t="inlineStr">
        <is>
          <t>第二階段｜馬拉松訓練</t>
        </is>
      </c>
      <c r="E33" s="57" t="inlineStr">
        <is>
          <t>Long</t>
        </is>
      </c>
      <c r="F33" s="57" t="n">
        <v>22</v>
      </c>
      <c r="G33" s="61" t="inlineStr">
        <is>
          <t>7:10〜7:40 / 心拍 ≤155</t>
        </is>
      </c>
      <c r="H33" s="60" t="inlineStr">
        <is>
          <t>長跑 22 km，最後 5 km @ 6:45 ★關卡1：最後5km穩6:45且心拍&lt;168才繼續下面的MP段</t>
        </is>
      </c>
      <c r="I33" s="60" t="inlineStr">
        <is>
          <t>補給照 11/1，加鹽錠或電解質</t>
        </is>
      </c>
      <c r="J33" s="62" t="n"/>
      <c r="K33" s="57" t="n"/>
      <c r="L33" s="63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</row>
    <row r="34" ht="29.25" customHeight="1" s="43">
      <c r="A34" s="53" t="n">
        <v>6</v>
      </c>
      <c r="B34" s="54" t="n">
        <v>46335</v>
      </c>
      <c r="C34" s="55" t="inlineStr">
        <is>
          <t>一</t>
        </is>
      </c>
      <c r="D34" s="56" t="inlineStr">
        <is>
          <t>第二階段｜馬拉松訓練</t>
        </is>
      </c>
      <c r="E34" s="55" t="inlineStr">
        <is>
          <t>休息</t>
        </is>
      </c>
      <c r="F34" s="53" t="n">
        <v>0</v>
      </c>
      <c r="G34" s="56" t="n"/>
      <c r="H34" s="56" t="inlineStr">
        <is>
          <t>休息</t>
        </is>
      </c>
      <c r="I34" s="56" t="n"/>
      <c r="J34" s="50" t="n"/>
      <c r="K34" s="53" t="n"/>
      <c r="L34" s="51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</row>
    <row r="35" ht="15" customHeight="1" s="43">
      <c r="A35" s="45" t="n">
        <v>6</v>
      </c>
      <c r="B35" s="46" t="n">
        <v>46336</v>
      </c>
      <c r="C35" s="47" t="inlineStr">
        <is>
          <t>二</t>
        </is>
      </c>
      <c r="D35" s="48" t="inlineStr">
        <is>
          <t>第二階段｜馬拉松訓練</t>
        </is>
      </c>
      <c r="E35" s="45" t="inlineStr">
        <is>
          <t>Recovery</t>
        </is>
      </c>
      <c r="F35" s="45" t="n">
        <v>6</v>
      </c>
      <c r="G35" s="49" t="inlineStr">
        <is>
          <t>7:45+ / 心拍 ≤140</t>
        </is>
      </c>
      <c r="H35" s="48" t="inlineStr">
        <is>
          <t>恢復跑 6 km 非常慢</t>
        </is>
      </c>
      <c r="I35" s="49" t="n"/>
      <c r="J35" s="50" t="n"/>
      <c r="K35" s="45" t="n"/>
      <c r="L35" s="51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</row>
    <row r="36" ht="15" customHeight="1" s="43">
      <c r="A36" s="64" t="n">
        <v>6</v>
      </c>
      <c r="B36" s="65" t="n">
        <v>46337</v>
      </c>
      <c r="C36" s="66" t="inlineStr">
        <is>
          <t>三</t>
        </is>
      </c>
      <c r="D36" s="67" t="inlineStr">
        <is>
          <t>第二階段｜馬拉松訓練</t>
        </is>
      </c>
      <c r="E36" s="64" t="inlineStr">
        <is>
          <t>MP</t>
        </is>
      </c>
      <c r="F36" s="64" t="n">
        <v>10</v>
      </c>
      <c r="G36" s="68" t="inlineStr">
        <is>
          <t>MP 段 6:40〜6:50</t>
        </is>
      </c>
      <c r="H36" s="68" t="inlineStr">
        <is>
          <t>2 km Easy + 7 km @ 6:40 + 1 km Easy</t>
        </is>
      </c>
      <c r="I36" s="67" t="inlineStr">
        <is>
          <t>第一次連續 6 km MP，看心拍能否守在 165 以下</t>
        </is>
      </c>
      <c r="J36" s="50" t="n"/>
      <c r="K36" s="64" t="n"/>
      <c r="L36" s="51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</row>
    <row r="37" ht="29.25" customHeight="1" s="43">
      <c r="A37" s="53" t="n">
        <v>6</v>
      </c>
      <c r="B37" s="54" t="n">
        <v>46338</v>
      </c>
      <c r="C37" s="55" t="inlineStr">
        <is>
          <t>四</t>
        </is>
      </c>
      <c r="D37" s="56" t="inlineStr">
        <is>
          <t>第二階段｜馬拉松訓練</t>
        </is>
      </c>
      <c r="E37" s="55" t="inlineStr">
        <is>
          <t>Recovery</t>
        </is>
      </c>
      <c r="F37" s="53" t="n">
        <v>5</v>
      </c>
      <c r="G37" s="56" t="inlineStr">
        <is>
          <t>心拍 ≤140</t>
        </is>
      </c>
      <c r="H37" s="56" t="inlineStr">
        <is>
          <t>恢復跑 4〜5 km（與肌力同日，兩者都輕）</t>
        </is>
      </c>
      <c r="I37" s="56" t="inlineStr">
        <is>
          <t>肌力日：Hyrox 或 15 分鐘核心＋臀腿 擇一，難度 6〜7，不要跑到心拍 160+</t>
        </is>
      </c>
      <c r="J37" s="50" t="n"/>
      <c r="K37" s="53" t="n"/>
      <c r="L37" s="51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</row>
    <row r="38" ht="15" customHeight="1" s="43">
      <c r="A38" s="45" t="n">
        <v>6</v>
      </c>
      <c r="B38" s="46" t="n">
        <v>46339</v>
      </c>
      <c r="C38" s="47" t="inlineStr">
        <is>
          <t>五</t>
        </is>
      </c>
      <c r="D38" s="48" t="inlineStr">
        <is>
          <t>第二階段｜馬拉松訓練</t>
        </is>
      </c>
      <c r="E38" s="45" t="inlineStr">
        <is>
          <t>Easy</t>
        </is>
      </c>
      <c r="F38" s="45" t="n">
        <v>6</v>
      </c>
      <c r="G38" s="49" t="inlineStr">
        <is>
          <t>7:15〜7:45 / 心拍 140〜150</t>
        </is>
      </c>
      <c r="H38" s="48" t="inlineStr">
        <is>
          <t>輕鬆跑 6 km</t>
        </is>
      </c>
      <c r="I38" s="49" t="n"/>
      <c r="J38" s="50" t="n"/>
      <c r="K38" s="45" t="n"/>
      <c r="L38" s="51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</row>
    <row r="39" ht="15" customHeight="1" s="43">
      <c r="A39" s="53" t="n">
        <v>6</v>
      </c>
      <c r="B39" s="54" t="n">
        <v>46340</v>
      </c>
      <c r="C39" s="55" t="inlineStr">
        <is>
          <t>六</t>
        </is>
      </c>
      <c r="D39" s="56" t="inlineStr">
        <is>
          <t>第二階段｜馬拉松訓練</t>
        </is>
      </c>
      <c r="E39" s="55" t="inlineStr">
        <is>
          <t>休息</t>
        </is>
      </c>
      <c r="F39" s="53" t="n">
        <v>0</v>
      </c>
      <c r="G39" s="56" t="n"/>
      <c r="H39" s="56" t="inlineStr">
        <is>
          <t>休息</t>
        </is>
      </c>
      <c r="I39" s="56" t="n"/>
      <c r="J39" s="50" t="n"/>
      <c r="K39" s="53" t="n"/>
      <c r="L39" s="51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</row>
    <row r="40" ht="15" customHeight="1" s="43">
      <c r="A40" s="57" t="n">
        <v>6</v>
      </c>
      <c r="B40" s="58" t="n">
        <v>46341</v>
      </c>
      <c r="C40" s="59" t="inlineStr">
        <is>
          <t>日</t>
        </is>
      </c>
      <c r="D40" s="60" t="inlineStr">
        <is>
          <t>第二階段｜馬拉松訓練</t>
        </is>
      </c>
      <c r="E40" s="57" t="inlineStr">
        <is>
          <t>Long</t>
        </is>
      </c>
      <c r="F40" s="57" t="n">
        <v>26</v>
      </c>
      <c r="G40" s="61" t="inlineStr">
        <is>
          <t>7:10〜7:40 / 心拍 ≤155</t>
        </is>
      </c>
      <c r="H40" s="60" t="inlineStr">
        <is>
          <t>長跑 26 km，最後 6 km @ 6:45</t>
        </is>
      </c>
      <c r="I40" s="60" t="inlineStr">
        <is>
          <t>超過 2.5 小時就停，不硬撐距離</t>
        </is>
      </c>
      <c r="J40" s="62" t="n"/>
      <c r="K40" s="57" t="n"/>
      <c r="L40" s="63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</row>
    <row r="41" ht="29.25" customHeight="1" s="43">
      <c r="A41" s="53" t="n">
        <v>7</v>
      </c>
      <c r="B41" s="54" t="n">
        <v>46342</v>
      </c>
      <c r="C41" s="55" t="inlineStr">
        <is>
          <t>一</t>
        </is>
      </c>
      <c r="D41" s="56" t="inlineStr">
        <is>
          <t>第三階段｜Peak</t>
        </is>
      </c>
      <c r="E41" s="55" t="inlineStr">
        <is>
          <t>休息</t>
        </is>
      </c>
      <c r="F41" s="53" t="n">
        <v>0</v>
      </c>
      <c r="G41" s="56" t="n"/>
      <c r="H41" s="56" t="inlineStr">
        <is>
          <t>休息</t>
        </is>
      </c>
      <c r="I41" s="56" t="n"/>
      <c r="J41" s="50" t="n"/>
      <c r="K41" s="53" t="n"/>
      <c r="L41" s="51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</row>
    <row r="42" ht="15" customHeight="1" s="43">
      <c r="A42" s="45" t="n">
        <v>7</v>
      </c>
      <c r="B42" s="46" t="n">
        <v>46343</v>
      </c>
      <c r="C42" s="47" t="inlineStr">
        <is>
          <t>二</t>
        </is>
      </c>
      <c r="D42" s="48" t="inlineStr">
        <is>
          <t>第三階段｜Peak</t>
        </is>
      </c>
      <c r="E42" s="45" t="inlineStr">
        <is>
          <t>Easy</t>
        </is>
      </c>
      <c r="F42" s="45" t="n">
        <v>7</v>
      </c>
      <c r="G42" s="49" t="inlineStr">
        <is>
          <t>7:15〜7:45 / 心拍 140〜150</t>
        </is>
      </c>
      <c r="H42" s="48" t="inlineStr">
        <is>
          <t>輕鬆跑 7 km</t>
        </is>
      </c>
      <c r="I42" s="49" t="n"/>
      <c r="J42" s="50" t="n"/>
      <c r="K42" s="45" t="n"/>
      <c r="L42" s="51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</row>
    <row r="43" ht="15" customHeight="1" s="43">
      <c r="A43" s="64" t="n">
        <v>7</v>
      </c>
      <c r="B43" s="65" t="n">
        <v>46344</v>
      </c>
      <c r="C43" s="66" t="inlineStr">
        <is>
          <t>三</t>
        </is>
      </c>
      <c r="D43" s="67" t="inlineStr">
        <is>
          <t>第三階段｜Peak</t>
        </is>
      </c>
      <c r="E43" s="66" t="inlineStr">
        <is>
          <t>坡跑+MP</t>
        </is>
      </c>
      <c r="F43" s="64" t="n">
        <v>10</v>
      </c>
      <c r="G43" s="67" t="inlineStr">
        <is>
          <t>上坡 6:00 內 / MP 6:40〜6:50</t>
        </is>
      </c>
      <c r="H43" s="68" t="inlineStr">
        <is>
          <t>3 km Easy + 4×90 秒上坡 + 3 km @ MP</t>
        </is>
      </c>
      <c r="I43" s="67" t="inlineStr">
        <is>
          <t>坡後接 MP，模擬西湖爬坡後還要維持配速</t>
        </is>
      </c>
      <c r="J43" s="50" t="n"/>
      <c r="K43" s="64" t="n"/>
      <c r="L43" s="51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</row>
    <row r="44" ht="29.25" customHeight="1" s="43">
      <c r="A44" s="53" t="n">
        <v>7</v>
      </c>
      <c r="B44" s="54" t="n">
        <v>46345</v>
      </c>
      <c r="C44" s="55" t="inlineStr">
        <is>
          <t>四</t>
        </is>
      </c>
      <c r="D44" s="56" t="inlineStr">
        <is>
          <t>第三階段｜Peak</t>
        </is>
      </c>
      <c r="E44" s="55" t="inlineStr">
        <is>
          <t>Recovery</t>
        </is>
      </c>
      <c r="F44" s="53" t="n">
        <v>5</v>
      </c>
      <c r="G44" s="56" t="inlineStr">
        <is>
          <t>心拍 ≤140</t>
        </is>
      </c>
      <c r="H44" s="56" t="inlineStr">
        <is>
          <t>恢復跑 4〜5 km（與肌力同日，兩者都輕）</t>
        </is>
      </c>
      <c r="I44" s="56" t="inlineStr">
        <is>
          <t>肌力日：Hyrox 或 15 分鐘核心＋臀腿 擇一，難度 6〜7，不要跑到心拍 160+</t>
        </is>
      </c>
      <c r="J44" s="50" t="n"/>
      <c r="K44" s="53" t="n"/>
      <c r="L44" s="51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</row>
    <row r="45" ht="15" customHeight="1" s="43">
      <c r="A45" s="45" t="n">
        <v>7</v>
      </c>
      <c r="B45" s="46" t="n">
        <v>46346</v>
      </c>
      <c r="C45" s="47" t="inlineStr">
        <is>
          <t>五</t>
        </is>
      </c>
      <c r="D45" s="48" t="inlineStr">
        <is>
          <t>第三階段｜Peak</t>
        </is>
      </c>
      <c r="E45" s="45" t="inlineStr">
        <is>
          <t>Easy</t>
        </is>
      </c>
      <c r="F45" s="45" t="n">
        <v>6</v>
      </c>
      <c r="G45" s="49" t="inlineStr">
        <is>
          <t>7:15〜7:45 / 心拍 140〜150</t>
        </is>
      </c>
      <c r="H45" s="48" t="inlineStr">
        <is>
          <t>輕鬆跑 6 km</t>
        </is>
      </c>
      <c r="I45" s="49" t="n"/>
      <c r="J45" s="50" t="n"/>
      <c r="K45" s="45" t="n"/>
      <c r="L45" s="51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</row>
    <row r="46" ht="15" customHeight="1" s="43">
      <c r="A46" s="53" t="n">
        <v>7</v>
      </c>
      <c r="B46" s="54" t="n">
        <v>46347</v>
      </c>
      <c r="C46" s="55" t="inlineStr">
        <is>
          <t>六</t>
        </is>
      </c>
      <c r="D46" s="56" t="inlineStr">
        <is>
          <t>第三階段｜Peak</t>
        </is>
      </c>
      <c r="E46" s="55" t="inlineStr">
        <is>
          <t>休息</t>
        </is>
      </c>
      <c r="F46" s="53" t="n">
        <v>0</v>
      </c>
      <c r="G46" s="56" t="n"/>
      <c r="H46" s="56" t="inlineStr">
        <is>
          <t>休息</t>
        </is>
      </c>
      <c r="I46" s="56" t="n"/>
      <c r="J46" s="50" t="n"/>
      <c r="K46" s="53" t="n"/>
      <c r="L46" s="51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</row>
    <row r="47" ht="43.5" customHeight="1" s="43">
      <c r="A47" s="69" t="n">
        <v>7</v>
      </c>
      <c r="B47" s="70" t="n">
        <v>46348</v>
      </c>
      <c r="C47" s="71" t="inlineStr">
        <is>
          <t>日</t>
        </is>
      </c>
      <c r="D47" s="72" t="inlineStr">
        <is>
          <t>第三階段｜Peak</t>
        </is>
      </c>
      <c r="E47" s="69" t="inlineStr">
        <is>
          <t>Peak Long</t>
        </is>
      </c>
      <c r="F47" s="69" t="n">
        <v>32</v>
      </c>
      <c r="G47" s="72" t="inlineStr">
        <is>
          <t>前 10 km 7:15〜7:30 / 中 7:00〜7:15 / 後 10 km 6:50〜7:10</t>
        </is>
      </c>
      <c r="H47" s="72" t="inlineStr">
        <is>
          <t>★ 峰值長跑 32 km，最後 8 km @ 6:45（關卡1未過則維持 30 km 純 Easy）</t>
        </is>
      </c>
      <c r="I47" s="72" t="inlineStr">
        <is>
          <t>★關卡2：最後8km穩6:45、心拍&lt;170、隔天無痛點 → 比賽配速6:40〜6:45；掉到7:15+ → 比賽7:00</t>
        </is>
      </c>
      <c r="J47" s="62" t="n"/>
      <c r="K47" s="69" t="n"/>
      <c r="L47" s="63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</row>
    <row r="48" ht="15" customHeight="1" s="43">
      <c r="A48" s="53" t="n">
        <v>8</v>
      </c>
      <c r="B48" s="54" t="n">
        <v>46349</v>
      </c>
      <c r="C48" s="55" t="inlineStr">
        <is>
          <t>一</t>
        </is>
      </c>
      <c r="D48" s="56" t="inlineStr">
        <is>
          <t>第三階段｜Peak</t>
        </is>
      </c>
      <c r="E48" s="55" t="inlineStr">
        <is>
          <t>完全休息</t>
        </is>
      </c>
      <c r="F48" s="53" t="n">
        <v>0</v>
      </c>
      <c r="G48" s="56" t="n"/>
      <c r="H48" s="56" t="inlineStr">
        <is>
          <t>完全休息，不做肌力</t>
        </is>
      </c>
      <c r="I48" s="56" t="inlineStr">
        <is>
          <t>走路、伸展、睡飽</t>
        </is>
      </c>
      <c r="J48" s="50" t="n"/>
      <c r="K48" s="53" t="n"/>
      <c r="L48" s="51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</row>
    <row r="49" ht="15" customHeight="1" s="43">
      <c r="A49" s="45" t="n">
        <v>8</v>
      </c>
      <c r="B49" s="46" t="n">
        <v>46350</v>
      </c>
      <c r="C49" s="47" t="inlineStr">
        <is>
          <t>二</t>
        </is>
      </c>
      <c r="D49" s="48" t="inlineStr">
        <is>
          <t>第三階段｜Peak</t>
        </is>
      </c>
      <c r="E49" s="45" t="inlineStr">
        <is>
          <t>Recovery</t>
        </is>
      </c>
      <c r="F49" s="45" t="n">
        <v>5</v>
      </c>
      <c r="G49" s="49" t="inlineStr">
        <is>
          <t>7:45+ / 心拍 ≤140</t>
        </is>
      </c>
      <c r="H49" s="48" t="inlineStr">
        <is>
          <t>恢復跑 5 km 非常慢</t>
        </is>
      </c>
      <c r="I49" s="49" t="n"/>
      <c r="J49" s="50" t="n"/>
      <c r="K49" s="45" t="n"/>
      <c r="L49" s="51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</row>
    <row r="50" ht="15" customHeight="1" s="43">
      <c r="A50" s="45" t="n">
        <v>8</v>
      </c>
      <c r="B50" s="46" t="n">
        <v>46351</v>
      </c>
      <c r="C50" s="47" t="inlineStr">
        <is>
          <t>三</t>
        </is>
      </c>
      <c r="D50" s="48" t="inlineStr">
        <is>
          <t>第三階段｜Peak</t>
        </is>
      </c>
      <c r="E50" s="45" t="inlineStr">
        <is>
          <t>Easy</t>
        </is>
      </c>
      <c r="F50" s="45" t="n">
        <v>7</v>
      </c>
      <c r="G50" s="49" t="inlineStr">
        <is>
          <t>7:15〜7:45 / 心拍 140〜150</t>
        </is>
      </c>
      <c r="H50" s="48" t="inlineStr">
        <is>
          <t>輕鬆跑 7 km</t>
        </is>
      </c>
      <c r="I50" s="49" t="n"/>
      <c r="J50" s="50" t="n"/>
      <c r="K50" s="45" t="n"/>
      <c r="L50" s="51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</row>
    <row r="51" ht="29.25" customHeight="1" s="43">
      <c r="A51" s="53" t="n">
        <v>8</v>
      </c>
      <c r="B51" s="54" t="n">
        <v>46352</v>
      </c>
      <c r="C51" s="55" t="inlineStr">
        <is>
          <t>四</t>
        </is>
      </c>
      <c r="D51" s="56" t="inlineStr">
        <is>
          <t>第三階段｜Peak</t>
        </is>
      </c>
      <c r="E51" s="55" t="inlineStr">
        <is>
          <t>Recovery</t>
        </is>
      </c>
      <c r="F51" s="53" t="n">
        <v>5</v>
      </c>
      <c r="G51" s="56" t="inlineStr">
        <is>
          <t>心拍 ≤140</t>
        </is>
      </c>
      <c r="H51" s="56" t="inlineStr">
        <is>
          <t>恢復跑 4〜5 km（與肌力同日，兩者都輕）</t>
        </is>
      </c>
      <c r="I51" s="56" t="inlineStr">
        <is>
          <t>肌力日：Hyrox 或 15 分鐘核心＋臀腿 擇一，難度 6〜7，不要跑到心拍 160+</t>
        </is>
      </c>
      <c r="J51" s="50" t="n"/>
      <c r="K51" s="53" t="n"/>
      <c r="L51" s="51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</row>
    <row r="52" ht="15" customHeight="1" s="43">
      <c r="A52" s="45" t="n">
        <v>8</v>
      </c>
      <c r="B52" s="46" t="n">
        <v>46353</v>
      </c>
      <c r="C52" s="47" t="inlineStr">
        <is>
          <t>五</t>
        </is>
      </c>
      <c r="D52" s="48" t="inlineStr">
        <is>
          <t>第三階段｜Peak</t>
        </is>
      </c>
      <c r="E52" s="45" t="inlineStr">
        <is>
          <t>Easy</t>
        </is>
      </c>
      <c r="F52" s="45" t="n">
        <v>5</v>
      </c>
      <c r="G52" s="49" t="inlineStr">
        <is>
          <t>7:15〜7:45 / 心拍 140〜150</t>
        </is>
      </c>
      <c r="H52" s="48" t="inlineStr">
        <is>
          <t>輕鬆跑 5 km</t>
        </is>
      </c>
      <c r="I52" s="49" t="n"/>
      <c r="J52" s="50" t="n"/>
      <c r="K52" s="45" t="n"/>
      <c r="L52" s="51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</row>
    <row r="53" ht="15" customHeight="1" s="43">
      <c r="A53" s="53" t="n">
        <v>8</v>
      </c>
      <c r="B53" s="54" t="n">
        <v>46354</v>
      </c>
      <c r="C53" s="55" t="inlineStr">
        <is>
          <t>六</t>
        </is>
      </c>
      <c r="D53" s="56" t="inlineStr">
        <is>
          <t>第三階段｜Peak</t>
        </is>
      </c>
      <c r="E53" s="55" t="inlineStr">
        <is>
          <t>休息</t>
        </is>
      </c>
      <c r="F53" s="53" t="n">
        <v>0</v>
      </c>
      <c r="G53" s="56" t="n"/>
      <c r="H53" s="56" t="inlineStr">
        <is>
          <t>休息</t>
        </is>
      </c>
      <c r="I53" s="56" t="n"/>
      <c r="J53" s="50" t="n"/>
      <c r="K53" s="53" t="n"/>
      <c r="L53" s="51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</row>
    <row r="54" ht="26.25" customHeight="1" s="43">
      <c r="A54" s="57" t="n">
        <v>8</v>
      </c>
      <c r="B54" s="58" t="n">
        <v>46355</v>
      </c>
      <c r="C54" s="59" t="inlineStr">
        <is>
          <t>日</t>
        </is>
      </c>
      <c r="D54" s="60" t="inlineStr">
        <is>
          <t>第三階段｜Peak</t>
        </is>
      </c>
      <c r="E54" s="57" t="inlineStr">
        <is>
          <t>Long</t>
        </is>
      </c>
      <c r="F54" s="57" t="n">
        <v>20</v>
      </c>
      <c r="G54" s="60" t="inlineStr">
        <is>
          <t>前 15 km 7:10〜7:30 / 最後 5 km @ MP</t>
        </is>
      </c>
      <c r="H54" s="60" t="inlineStr">
        <is>
          <t>長跑 20 km，最後 5 km @ 6:40〜7:00</t>
        </is>
      </c>
      <c r="I54" s="60" t="inlineStr">
        <is>
          <t>減量週：確認 30 km 後身體已恢復</t>
        </is>
      </c>
      <c r="J54" s="62" t="n"/>
      <c r="K54" s="57" t="n"/>
      <c r="L54" s="63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</row>
    <row r="55" ht="29.25" customHeight="1" s="43">
      <c r="A55" s="53" t="n">
        <v>9</v>
      </c>
      <c r="B55" s="54" t="n">
        <v>46356</v>
      </c>
      <c r="C55" s="55" t="inlineStr">
        <is>
          <t>一</t>
        </is>
      </c>
      <c r="D55" s="56" t="inlineStr">
        <is>
          <t>第四階段｜Taper</t>
        </is>
      </c>
      <c r="E55" s="55" t="inlineStr">
        <is>
          <t>休息</t>
        </is>
      </c>
      <c r="F55" s="53" t="n">
        <v>0</v>
      </c>
      <c r="G55" s="56" t="n"/>
      <c r="H55" s="56" t="inlineStr">
        <is>
          <t>休息</t>
        </is>
      </c>
      <c r="I55" s="56" t="n"/>
      <c r="J55" s="50" t="n"/>
      <c r="K55" s="53" t="n"/>
      <c r="L55" s="51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</row>
    <row r="56" ht="15" customHeight="1" s="43">
      <c r="A56" s="45" t="n">
        <v>9</v>
      </c>
      <c r="B56" s="46" t="n">
        <v>46357</v>
      </c>
      <c r="C56" s="47" t="inlineStr">
        <is>
          <t>二</t>
        </is>
      </c>
      <c r="D56" s="48" t="inlineStr">
        <is>
          <t>第四階段｜Taper</t>
        </is>
      </c>
      <c r="E56" s="45" t="inlineStr">
        <is>
          <t>Easy</t>
        </is>
      </c>
      <c r="F56" s="45" t="n">
        <v>6</v>
      </c>
      <c r="G56" s="49" t="inlineStr">
        <is>
          <t>7:15〜7:45 / 心拍 140〜150</t>
        </is>
      </c>
      <c r="H56" s="48" t="inlineStr">
        <is>
          <t>輕鬆跑 6 km</t>
        </is>
      </c>
      <c r="I56" s="49" t="n"/>
      <c r="J56" s="50" t="n"/>
      <c r="K56" s="45" t="n"/>
      <c r="L56" s="51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</row>
    <row r="57" ht="15" customHeight="1" s="43">
      <c r="A57" s="64" t="n">
        <v>9</v>
      </c>
      <c r="B57" s="65" t="n">
        <v>46358</v>
      </c>
      <c r="C57" s="66" t="inlineStr">
        <is>
          <t>三</t>
        </is>
      </c>
      <c r="D57" s="67" t="inlineStr">
        <is>
          <t>第四階段｜Taper</t>
        </is>
      </c>
      <c r="E57" s="64" t="inlineStr">
        <is>
          <t>MP</t>
        </is>
      </c>
      <c r="F57" s="64" t="n">
        <v>8</v>
      </c>
      <c r="G57" s="68" t="inlineStr">
        <is>
          <t>MP 段 6:40〜6:50</t>
        </is>
      </c>
      <c r="H57" s="68" t="inlineStr">
        <is>
          <t>3 km Easy + 4 km @ 6:40 + 2 km Easy</t>
        </is>
      </c>
      <c r="I57" s="67" t="inlineStr">
        <is>
          <t>維持配速感覺，不是練體能</t>
        </is>
      </c>
      <c r="J57" s="50" t="n"/>
      <c r="K57" s="64" t="n"/>
      <c r="L57" s="51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</row>
    <row r="58" ht="15" customHeight="1" s="43">
      <c r="A58" s="53" t="n">
        <v>9</v>
      </c>
      <c r="B58" s="54" t="n">
        <v>46359</v>
      </c>
      <c r="C58" s="55" t="inlineStr">
        <is>
          <t>四</t>
        </is>
      </c>
      <c r="D58" s="56" t="inlineStr">
        <is>
          <t>第四階段｜Taper</t>
        </is>
      </c>
      <c r="E58" s="55" t="inlineStr">
        <is>
          <t>休息</t>
        </is>
      </c>
      <c r="F58" s="53" t="n">
        <v>0</v>
      </c>
      <c r="G58" s="56" t="n"/>
      <c r="H58" s="56" t="inlineStr">
        <is>
          <t>休息</t>
        </is>
      </c>
      <c r="I58" s="56" t="n"/>
      <c r="J58" s="50" t="n"/>
      <c r="K58" s="53" t="n"/>
      <c r="L58" s="51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</row>
    <row r="59" ht="15" customHeight="1" s="43">
      <c r="A59" s="45" t="n">
        <v>9</v>
      </c>
      <c r="B59" s="46" t="n">
        <v>46360</v>
      </c>
      <c r="C59" s="47" t="inlineStr">
        <is>
          <t>五</t>
        </is>
      </c>
      <c r="D59" s="48" t="inlineStr">
        <is>
          <t>第四階段｜Taper</t>
        </is>
      </c>
      <c r="E59" s="45" t="inlineStr">
        <is>
          <t>Easy</t>
        </is>
      </c>
      <c r="F59" s="45" t="n">
        <v>5</v>
      </c>
      <c r="G59" s="49" t="inlineStr">
        <is>
          <t>7:15〜7:45 / 心拍 140〜150</t>
        </is>
      </c>
      <c r="H59" s="48" t="inlineStr">
        <is>
          <t>輕鬆跑 5 km</t>
        </is>
      </c>
      <c r="I59" s="49" t="n"/>
      <c r="J59" s="50" t="n"/>
      <c r="K59" s="45" t="n"/>
      <c r="L59" s="51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</row>
    <row r="60" ht="15" customHeight="1" s="43">
      <c r="A60" s="53" t="n">
        <v>9</v>
      </c>
      <c r="B60" s="54" t="n">
        <v>46361</v>
      </c>
      <c r="C60" s="55" t="inlineStr">
        <is>
          <t>六</t>
        </is>
      </c>
      <c r="D60" s="56" t="inlineStr">
        <is>
          <t>第四階段｜Taper</t>
        </is>
      </c>
      <c r="E60" s="55" t="inlineStr">
        <is>
          <t>休息</t>
        </is>
      </c>
      <c r="F60" s="53" t="n">
        <v>0</v>
      </c>
      <c r="G60" s="56" t="n"/>
      <c r="H60" s="56" t="inlineStr">
        <is>
          <t>休息</t>
        </is>
      </c>
      <c r="I60" s="56" t="n"/>
      <c r="J60" s="50" t="n"/>
      <c r="K60" s="53" t="n"/>
      <c r="L60" s="51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</row>
    <row r="61" ht="15" customHeight="1" s="43">
      <c r="A61" s="57" t="n">
        <v>9</v>
      </c>
      <c r="B61" s="58" t="n">
        <v>46362</v>
      </c>
      <c r="C61" s="59" t="inlineStr">
        <is>
          <t>日</t>
        </is>
      </c>
      <c r="D61" s="60" t="inlineStr">
        <is>
          <t>第四階段｜Taper</t>
        </is>
      </c>
      <c r="E61" s="57" t="inlineStr">
        <is>
          <t>Long</t>
        </is>
      </c>
      <c r="F61" s="57" t="n">
        <v>14</v>
      </c>
      <c r="G61" s="61" t="inlineStr">
        <is>
          <t>7:10〜7:40 / 心拍 ≤155</t>
        </is>
      </c>
      <c r="H61" s="60" t="inlineStr">
        <is>
          <t>長跑 14 km</t>
        </is>
      </c>
      <c r="I61" s="60" t="inlineStr">
        <is>
          <t>最後一次穿比賽鞋確認</t>
        </is>
      </c>
      <c r="J61" s="62" t="n"/>
      <c r="K61" s="57" t="n"/>
      <c r="L61" s="63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</row>
    <row r="62" ht="15" customHeight="1" s="43">
      <c r="A62" s="53" t="n">
        <v>10</v>
      </c>
      <c r="B62" s="54" t="n">
        <v>46363</v>
      </c>
      <c r="C62" s="55" t="inlineStr">
        <is>
          <t>一</t>
        </is>
      </c>
      <c r="D62" s="56" t="inlineStr">
        <is>
          <t>第四階段｜Taper</t>
        </is>
      </c>
      <c r="E62" s="55" t="inlineStr">
        <is>
          <t>休息</t>
        </is>
      </c>
      <c r="F62" s="53" t="n">
        <v>0</v>
      </c>
      <c r="G62" s="56" t="n"/>
      <c r="H62" s="56" t="inlineStr">
        <is>
          <t>休息</t>
        </is>
      </c>
      <c r="I62" s="56" t="n"/>
      <c r="J62" s="50" t="n"/>
      <c r="K62" s="53" t="n"/>
      <c r="L62" s="51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</row>
    <row r="63" ht="15" customHeight="1" s="43">
      <c r="A63" s="45" t="n">
        <v>10</v>
      </c>
      <c r="B63" s="46" t="n">
        <v>46364</v>
      </c>
      <c r="C63" s="47" t="inlineStr">
        <is>
          <t>二</t>
        </is>
      </c>
      <c r="D63" s="48" t="inlineStr">
        <is>
          <t>第四階段｜Taper</t>
        </is>
      </c>
      <c r="E63" s="45" t="inlineStr">
        <is>
          <t>Easy</t>
        </is>
      </c>
      <c r="F63" s="45" t="n">
        <v>5</v>
      </c>
      <c r="G63" s="49" t="inlineStr">
        <is>
          <t>7:15〜7:45 / 心拍 140〜150</t>
        </is>
      </c>
      <c r="H63" s="48" t="inlineStr">
        <is>
          <t>輕鬆跑 5 km</t>
        </is>
      </c>
      <c r="I63" s="49" t="n"/>
      <c r="J63" s="50" t="n"/>
      <c r="K63" s="45" t="n"/>
      <c r="L63" s="51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</row>
    <row r="64" ht="15" customHeight="1" s="43">
      <c r="A64" s="64" t="n">
        <v>10</v>
      </c>
      <c r="B64" s="65" t="n">
        <v>46365</v>
      </c>
      <c r="C64" s="66" t="inlineStr">
        <is>
          <t>三</t>
        </is>
      </c>
      <c r="D64" s="67" t="inlineStr">
        <is>
          <t>第四階段｜Taper</t>
        </is>
      </c>
      <c r="E64" s="64" t="inlineStr">
        <is>
          <t>MP</t>
        </is>
      </c>
      <c r="F64" s="64" t="n">
        <v>6</v>
      </c>
      <c r="G64" s="68" t="inlineStr">
        <is>
          <t>MP 段 6:40〜6:50</t>
        </is>
      </c>
      <c r="H64" s="68" t="inlineStr">
        <is>
          <t>4 km Easy + 2 km @ MP</t>
        </is>
      </c>
      <c r="I64" s="68" t="inlineStr">
        <is>
          <t>★關卡3：最後2km MP心拍&lt;165且體感輕 → 前半可押6:38；否則維持6:45</t>
        </is>
      </c>
      <c r="J64" s="50" t="n"/>
      <c r="K64" s="64" t="n"/>
      <c r="L64" s="51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</row>
    <row r="65" ht="15" customHeight="1" s="43">
      <c r="A65" s="53" t="n">
        <v>10</v>
      </c>
      <c r="B65" s="54" t="n">
        <v>46366</v>
      </c>
      <c r="C65" s="55" t="inlineStr">
        <is>
          <t>四</t>
        </is>
      </c>
      <c r="D65" s="56" t="inlineStr">
        <is>
          <t>第四階段｜Taper</t>
        </is>
      </c>
      <c r="E65" s="55" t="inlineStr">
        <is>
          <t>休息</t>
        </is>
      </c>
      <c r="F65" s="53" t="n">
        <v>0</v>
      </c>
      <c r="G65" s="56" t="n"/>
      <c r="H65" s="56" t="inlineStr">
        <is>
          <t>休息</t>
        </is>
      </c>
      <c r="I65" s="56" t="n"/>
      <c r="J65" s="50" t="n"/>
      <c r="K65" s="53" t="n"/>
      <c r="L65" s="51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</row>
    <row r="66" ht="15" customHeight="1" s="43">
      <c r="A66" s="64" t="n">
        <v>10</v>
      </c>
      <c r="B66" s="65" t="n">
        <v>46367</v>
      </c>
      <c r="C66" s="66" t="inlineStr">
        <is>
          <t>五</t>
        </is>
      </c>
      <c r="D66" s="67" t="inlineStr">
        <is>
          <t>第四階段｜Taper</t>
        </is>
      </c>
      <c r="E66" s="66" t="inlineStr">
        <is>
          <t>快步</t>
        </is>
      </c>
      <c r="F66" s="64" t="n">
        <v>4</v>
      </c>
      <c r="G66" s="68" t="inlineStr">
        <is>
          <t>7:15〜7:45 / 心拍 140〜150</t>
        </is>
      </c>
      <c r="H66" s="67" t="inlineStr">
        <is>
          <t>輕鬆跑 4 km + 4×20 秒快步</t>
        </is>
      </c>
      <c r="I66" s="67" t="inlineStr">
        <is>
          <t>保持腿的彈性</t>
        </is>
      </c>
      <c r="J66" s="50" t="n"/>
      <c r="K66" s="64" t="n"/>
      <c r="L66" s="51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</row>
    <row r="67" ht="15" customHeight="1" s="43">
      <c r="A67" s="53" t="n">
        <v>10</v>
      </c>
      <c r="B67" s="54" t="n">
        <v>46368</v>
      </c>
      <c r="C67" s="55" t="inlineStr">
        <is>
          <t>六</t>
        </is>
      </c>
      <c r="D67" s="56" t="inlineStr">
        <is>
          <t>第四階段｜Taper</t>
        </is>
      </c>
      <c r="E67" s="55" t="inlineStr">
        <is>
          <t>休息</t>
        </is>
      </c>
      <c r="F67" s="53" t="n">
        <v>0</v>
      </c>
      <c r="G67" s="56" t="n"/>
      <c r="H67" s="56" t="inlineStr">
        <is>
          <t>休息</t>
        </is>
      </c>
      <c r="I67" s="56" t="n"/>
      <c r="J67" s="50" t="n"/>
      <c r="K67" s="53" t="n"/>
      <c r="L67" s="51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</row>
    <row r="68" ht="15" customHeight="1" s="43">
      <c r="A68" s="53" t="n">
        <v>10</v>
      </c>
      <c r="B68" s="54" t="n">
        <v>46369</v>
      </c>
      <c r="C68" s="55" t="inlineStr">
        <is>
          <t>日</t>
        </is>
      </c>
      <c r="D68" s="56" t="inlineStr">
        <is>
          <t>第四階段｜Taper</t>
        </is>
      </c>
      <c r="E68" s="55" t="inlineStr">
        <is>
          <t>完全休息</t>
        </is>
      </c>
      <c r="F68" s="53" t="n">
        <v>0</v>
      </c>
      <c r="G68" s="56" t="n"/>
      <c r="H68" s="56" t="inlineStr">
        <is>
          <t>完全休息</t>
        </is>
      </c>
      <c r="I68" s="56" t="inlineStr">
        <is>
          <t>前一天抵達河口湖、早睡、裝備排好、早餐吃習慣的</t>
        </is>
      </c>
      <c r="J68" s="50" t="n"/>
      <c r="K68" s="53" t="n"/>
      <c r="L68" s="51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</row>
    <row r="69" ht="43.5" customHeight="1" s="43">
      <c r="A69" s="73" t="n">
        <v>11</v>
      </c>
      <c r="B69" s="74" t="n">
        <v>46370</v>
      </c>
      <c r="C69" s="75" t="inlineStr">
        <is>
          <t>一</t>
        </is>
      </c>
      <c r="D69" s="76" t="inlineStr">
        <is>
          <t>比賽日</t>
        </is>
      </c>
      <c r="E69" s="75" t="inlineStr">
        <is>
          <t>比賽</t>
        </is>
      </c>
      <c r="F69" s="73" t="n">
        <v>42.195</v>
      </c>
      <c r="G69" s="76" t="inlineStr">
        <is>
          <t>前 10 km 7:05〜7:15 / 10〜20 km 6:55〜7:05 / 西湖爬坡段心拍優先 / 30 km 後視狀況</t>
        </is>
      </c>
      <c r="H69" s="76" t="inlineStr">
        <is>
          <t>🏁 富士山マラソン 42.195 km</t>
        </is>
      </c>
      <c r="I69" s="76" t="inlineStr">
        <is>
          <t>水站走路喝水；每 40 分補膠；26 km 前絕不加速</t>
        </is>
      </c>
      <c r="J69" s="62" t="n"/>
      <c r="K69" s="73" t="n"/>
      <c r="L69" s="63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</row>
    <row r="70"/>
    <row r="71" ht="15" customHeight="1" s="43">
      <c r="A71" s="77" t="inlineStr">
        <is>
          <t>黃底欄位（實際 km／完成／心得）自己填。MP = 馬拉松目標配速 6:40〜7:00。Easy 日寧慢勿快，心拍比配速重要。</t>
        </is>
      </c>
    </row>
    <row r="72" ht="15" customHeight="1" s="43">
      <c r="A72" s="77" t="inlineStr">
        <is>
          <t>來源：依 10/6 Strava 10K 1:02:43（平均心拍 166）推估；比賽目標 5:00〜5:15，依 11/22 的 30 km 結果最終決定。</t>
        </is>
      </c>
    </row>
  </sheetData>
  <autoFilter ref="A1:U6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2" min="1" max="1"/>
    <col width="7" customWidth="1" style="42" min="2" max="3"/>
    <col width="20" customWidth="1" style="42" min="4" max="4"/>
    <col width="10" customWidth="1" style="42" min="5" max="5"/>
    <col width="9" customWidth="1" style="42" min="6" max="6"/>
    <col width="10" customWidth="1" style="42" min="7" max="7"/>
    <col width="8" customWidth="1" style="42" min="8" max="8"/>
    <col width="34" customWidth="1" style="42" min="9" max="9"/>
  </cols>
  <sheetData>
    <row r="1" ht="29.25" customHeight="1" s="43">
      <c r="A1" s="44" t="inlineStr">
        <is>
          <t>週</t>
        </is>
      </c>
      <c r="B1" s="44" t="inlineStr">
        <is>
          <t>起</t>
        </is>
      </c>
      <c r="C1" s="44" t="inlineStr">
        <is>
          <t>迄</t>
        </is>
      </c>
      <c r="D1" s="44" t="inlineStr">
        <is>
          <t>階段</t>
        </is>
      </c>
      <c r="E1" s="44" t="inlineStr">
        <is>
          <t>計畫總 km</t>
        </is>
      </c>
      <c r="F1" s="44" t="inlineStr">
        <is>
          <t>長跑 km</t>
        </is>
      </c>
      <c r="G1" s="44" t="inlineStr">
        <is>
          <t>實際總 km</t>
        </is>
      </c>
      <c r="H1" s="44" t="inlineStr">
        <is>
          <t>達成率</t>
        </is>
      </c>
      <c r="I1" s="44" t="inlineStr">
        <is>
          <t>重點</t>
        </is>
      </c>
    </row>
    <row r="2" ht="15" customHeight="1" s="43">
      <c r="A2" s="78" t="n">
        <v>1</v>
      </c>
      <c r="B2" s="79" t="n">
        <v>46303</v>
      </c>
      <c r="C2" s="79" t="n">
        <v>46306</v>
      </c>
      <c r="D2" s="80" t="inlineStr">
        <is>
          <t>第一階段｜重建跑量</t>
        </is>
      </c>
      <c r="E2" s="78">
        <f>SUM(課表!F2:F5)</f>
        <v/>
      </c>
      <c r="F2" s="78">
        <f>MAX(課表!F2:F5)</f>
        <v/>
      </c>
      <c r="G2" s="78">
        <f>SUM(課表!J2:J5)</f>
        <v/>
      </c>
      <c r="H2" s="81">
        <f>IF(E2=0,"",G2/E2)</f>
        <v/>
      </c>
      <c r="I2" s="80" t="inlineStr">
        <is>
          <t>開始建立習慣</t>
        </is>
      </c>
    </row>
    <row r="3" ht="15" customHeight="1" s="43">
      <c r="A3" s="78" t="n">
        <v>2</v>
      </c>
      <c r="B3" s="79" t="n">
        <v>46307</v>
      </c>
      <c r="C3" s="79" t="n">
        <v>46313</v>
      </c>
      <c r="D3" s="80" t="inlineStr">
        <is>
          <t>第一階段｜重建跑量</t>
        </is>
      </c>
      <c r="E3" s="78">
        <f>SUM(課表!F6:F12)</f>
        <v/>
      </c>
      <c r="F3" s="78">
        <f>MAX(課表!F6:F12)</f>
        <v/>
      </c>
      <c r="G3" s="78">
        <f>SUM(課表!J6:J12)</f>
        <v/>
      </c>
      <c r="H3" s="81">
        <f>IF(E3=0,"",G3/E3)</f>
        <v/>
      </c>
      <c r="I3" s="80" t="inlineStr">
        <is>
          <t>長跑 14</t>
        </is>
      </c>
    </row>
    <row r="4" ht="15" customHeight="1" s="43">
      <c r="A4" s="78" t="n">
        <v>3</v>
      </c>
      <c r="B4" s="79" t="n">
        <v>46314</v>
      </c>
      <c r="C4" s="79" t="n">
        <v>46320</v>
      </c>
      <c r="D4" s="80" t="inlineStr">
        <is>
          <t>第一階段｜重建跑量</t>
        </is>
      </c>
      <c r="E4" s="78">
        <f>SUM(課表!F13:F19)</f>
        <v/>
      </c>
      <c r="F4" s="78">
        <f>MAX(課表!F13:F19)</f>
        <v/>
      </c>
      <c r="G4" s="78">
        <f>SUM(課表!J13:J19)</f>
        <v/>
      </c>
      <c r="H4" s="81">
        <f>IF(E4=0,"",G4/E4)</f>
        <v/>
      </c>
      <c r="I4" s="80" t="inlineStr">
        <is>
          <t>長跑 16，第一次坡跑</t>
        </is>
      </c>
    </row>
    <row r="5" ht="15" customHeight="1" s="43">
      <c r="A5" s="78" t="n">
        <v>4</v>
      </c>
      <c r="B5" s="79" t="n">
        <v>46321</v>
      </c>
      <c r="C5" s="79" t="n">
        <v>46327</v>
      </c>
      <c r="D5" s="80" t="inlineStr">
        <is>
          <t>第二階段｜馬拉松訓練</t>
        </is>
      </c>
      <c r="E5" s="78">
        <f>SUM(課表!F20:F26)</f>
        <v/>
      </c>
      <c r="F5" s="78">
        <f>MAX(課表!F20:F26)</f>
        <v/>
      </c>
      <c r="G5" s="78">
        <f>SUM(課表!J20:J26)</f>
        <v/>
      </c>
      <c r="H5" s="81">
        <f>IF(E5=0,"",G5/E5)</f>
        <v/>
      </c>
      <c r="I5" s="80" t="inlineStr">
        <is>
          <t>長跑 18，開始練補給</t>
        </is>
      </c>
    </row>
    <row r="6" ht="15" customHeight="1" s="43">
      <c r="A6" s="78" t="n">
        <v>5</v>
      </c>
      <c r="B6" s="79" t="n">
        <v>46328</v>
      </c>
      <c r="C6" s="79" t="n">
        <v>46334</v>
      </c>
      <c r="D6" s="80" t="inlineStr">
        <is>
          <t>第二階段｜馬拉松訓練</t>
        </is>
      </c>
      <c r="E6" s="78">
        <f>SUM(課表!F27:F33)</f>
        <v/>
      </c>
      <c r="F6" s="78">
        <f>MAX(課表!F27:F33)</f>
        <v/>
      </c>
      <c r="G6" s="78">
        <f>SUM(課表!J27:J33)</f>
        <v/>
      </c>
      <c r="H6" s="81">
        <f>IF(E6=0,"",G6/E6)</f>
        <v/>
      </c>
      <c r="I6" s="80" t="inlineStr">
        <is>
          <t>長跑 22</t>
        </is>
      </c>
    </row>
    <row r="7" ht="15" customHeight="1" s="43">
      <c r="A7" s="78" t="n">
        <v>6</v>
      </c>
      <c r="B7" s="79" t="n">
        <v>46335</v>
      </c>
      <c r="C7" s="79" t="n">
        <v>46341</v>
      </c>
      <c r="D7" s="80" t="inlineStr">
        <is>
          <t>第二階段｜馬拉松訓練</t>
        </is>
      </c>
      <c r="E7" s="78">
        <f>SUM(課表!F34:F40)</f>
        <v/>
      </c>
      <c r="F7" s="78">
        <f>MAX(課表!F34:F40)</f>
        <v/>
      </c>
      <c r="G7" s="78">
        <f>SUM(課表!J34:J40)</f>
        <v/>
      </c>
      <c r="H7" s="81">
        <f>IF(E7=0,"",G7/E7)</f>
        <v/>
      </c>
      <c r="I7" s="80" t="inlineStr">
        <is>
          <t>長跑 26（長跑最大週前的鋪墊）</t>
        </is>
      </c>
    </row>
    <row r="8" ht="15" customHeight="1" s="43">
      <c r="A8" s="78" t="n">
        <v>7</v>
      </c>
      <c r="B8" s="79" t="n">
        <v>46342</v>
      </c>
      <c r="C8" s="79" t="n">
        <v>46348</v>
      </c>
      <c r="D8" s="80" t="inlineStr">
        <is>
          <t>第三階段｜Peak</t>
        </is>
      </c>
      <c r="E8" s="78">
        <f>SUM(課表!F41:F47)</f>
        <v/>
      </c>
      <c r="F8" s="78">
        <f>MAX(課表!F41:F47)</f>
        <v/>
      </c>
      <c r="G8" s="78">
        <f>SUM(課表!J41:J47)</f>
        <v/>
      </c>
      <c r="H8" s="81">
        <f>IF(E8=0,"",G8/E8)</f>
        <v/>
      </c>
      <c r="I8" s="80" t="inlineStr">
        <is>
          <t>★ 峰值 30 km 比賽預演</t>
        </is>
      </c>
    </row>
    <row r="9" ht="15" customHeight="1" s="43">
      <c r="A9" s="78" t="n">
        <v>8</v>
      </c>
      <c r="B9" s="79" t="n">
        <v>46349</v>
      </c>
      <c r="C9" s="79" t="n">
        <v>46355</v>
      </c>
      <c r="D9" s="80" t="inlineStr">
        <is>
          <t>第三階段｜Peak</t>
        </is>
      </c>
      <c r="E9" s="78">
        <f>SUM(課表!F48:F54)</f>
        <v/>
      </c>
      <c r="F9" s="78">
        <f>MAX(課表!F48:F54)</f>
        <v/>
      </c>
      <c r="G9" s="78">
        <f>SUM(課表!J48:J54)</f>
        <v/>
      </c>
      <c r="H9" s="81">
        <f>IF(E9=0,"",G9/E9)</f>
        <v/>
      </c>
      <c r="I9" s="80" t="inlineStr">
        <is>
          <t>減量週，20 km 收尾 MP</t>
        </is>
      </c>
    </row>
    <row r="10" ht="15" customHeight="1" s="43">
      <c r="A10" s="78" t="n">
        <v>9</v>
      </c>
      <c r="B10" s="79" t="n">
        <v>46356</v>
      </c>
      <c r="C10" s="79" t="n">
        <v>46362</v>
      </c>
      <c r="D10" s="80" t="inlineStr">
        <is>
          <t>第四階段｜Taper</t>
        </is>
      </c>
      <c r="E10" s="78">
        <f>SUM(課表!F55:F61)</f>
        <v/>
      </c>
      <c r="F10" s="78">
        <f>MAX(課表!F55:F61)</f>
        <v/>
      </c>
      <c r="G10" s="78">
        <f>SUM(課表!J55:J61)</f>
        <v/>
      </c>
      <c r="H10" s="81">
        <f>IF(E10=0,"",G10/E10)</f>
        <v/>
      </c>
      <c r="I10" s="82" t="inlineStr">
        <is>
          <t>Taper 1</t>
        </is>
      </c>
    </row>
    <row r="11" ht="15" customHeight="1" s="43">
      <c r="A11" s="78" t="n">
        <v>10</v>
      </c>
      <c r="B11" s="79" t="n">
        <v>46363</v>
      </c>
      <c r="C11" s="79" t="n">
        <v>46369</v>
      </c>
      <c r="D11" s="80" t="inlineStr">
        <is>
          <t>第四階段｜Taper</t>
        </is>
      </c>
      <c r="E11" s="78">
        <f>SUM(課表!F62:F68)</f>
        <v/>
      </c>
      <c r="F11" s="78">
        <f>MAX(課表!F62:F68)</f>
        <v/>
      </c>
      <c r="G11" s="78">
        <f>SUM(課表!J62:J68)</f>
        <v/>
      </c>
      <c r="H11" s="81">
        <f>IF(E11=0,"",G11/E11)</f>
        <v/>
      </c>
      <c r="I11" s="82" t="inlineStr">
        <is>
          <t>Taper 2</t>
        </is>
      </c>
    </row>
    <row r="12" ht="15" customHeight="1" s="43">
      <c r="A12" s="78" t="n">
        <v>11</v>
      </c>
      <c r="B12" s="79" t="n">
        <v>46370</v>
      </c>
      <c r="C12" s="79" t="n">
        <v>46370</v>
      </c>
      <c r="D12" s="80" t="inlineStr">
        <is>
          <t>比賽日</t>
        </is>
      </c>
      <c r="E12" s="78">
        <f>SUM(課表!F69:F69)</f>
        <v/>
      </c>
      <c r="F12" s="78">
        <f>MAX(課表!F69:F69)</f>
        <v/>
      </c>
      <c r="G12" s="78">
        <f>SUM(課表!J69:J69)</f>
        <v/>
      </c>
      <c r="H12" s="81">
        <f>IF(E12=0,"",G12/E12)</f>
        <v/>
      </c>
      <c r="I12" s="82" t="inlineStr">
        <is>
          <t>🏁 12/14 比賽</t>
        </is>
      </c>
    </row>
    <row r="14" ht="15" customHeight="1" s="43">
      <c r="D14" s="83" t="inlineStr">
        <is>
          <t>合計</t>
        </is>
      </c>
      <c r="E14" s="83">
        <f>SUM(E2:E12)</f>
        <v/>
      </c>
      <c r="G14" s="83">
        <f>SUM(G2:G12)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2026-10-07T04:41:17Z</dcterms:created>
  <dcterms:modified xmlns:dcterms="http://purl.org/dc/terms/" xmlns:xsi="http://www.w3.org/2001/XMLSchema-instance" xsi:type="dcterms:W3CDTF">2026-10-11T11:13:24Z</dcterms:modified>
  <cp:revision>0</cp:revision>
</cp:coreProperties>
</file>