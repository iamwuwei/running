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課表" sheetId="1" state="visible" r:id="rId3"/>
    <sheet name="週總覽" sheetId="2" state="visible" r:id="rId4"/>
  </sheets>
  <definedNames>
    <definedName function="false" hidden="true" localSheetId="0" name="_xlnm._FilterDatabase" vbProcedure="false">課表!$A$1:$U$69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<sst xmlns="http://schemas.openxmlformats.org/spreadsheetml/2006/main" count="405" uniqueCount="129">
  <si>
    <t xml:space="preserve">週</t>
  </si>
  <si>
    <t xml:space="preserve">日期</t>
  </si>
  <si>
    <t xml:space="preserve">星期</t>
  </si>
  <si>
    <t xml:space="preserve">階段</t>
  </si>
  <si>
    <t xml:space="preserve">類型</t>
  </si>
  <si>
    <t xml:space="preserve">計畫 km</t>
  </si>
  <si>
    <t xml:space="preserve">配速 / 心拍</t>
  </si>
  <si>
    <t xml:space="preserve">內容</t>
  </si>
  <si>
    <t xml:space="preserve">備註（補給・肌力・提醒）</t>
  </si>
  <si>
    <t xml:space="preserve">實際 km</t>
  </si>
  <si>
    <t xml:space="preserve">完成</t>
  </si>
  <si>
    <t xml:space="preserve">心得</t>
  </si>
  <si>
    <t xml:space="preserve">時間</t>
  </si>
  <si>
    <t xml:space="preserve">平均配速</t>
  </si>
  <si>
    <t xml:space="preserve">平均心拍</t>
  </si>
  <si>
    <t xml:space="preserve">最大心拍</t>
  </si>
  <si>
    <t xml:space="preserve">平均功率 W</t>
  </si>
  <si>
    <t xml:space="preserve">卡路里</t>
  </si>
  <si>
    <t xml:space="preserve">天氣 / 氣溫 / 濕度</t>
  </si>
  <si>
    <t xml:space="preserve">鞋</t>
  </si>
  <si>
    <t xml:space="preserve">裝置</t>
  </si>
  <si>
    <t xml:space="preserve">四</t>
  </si>
  <si>
    <t xml:space="preserve">第一階段｜重建跑量</t>
  </si>
  <si>
    <t xml:space="preserve">Easy</t>
  </si>
  <si>
    <r>
      <rPr>
        <sz val="10"/>
        <rFont val="Arial"/>
        <family val="0"/>
        <charset val="1"/>
      </rPr>
      <t xml:space="preserve">7:15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7:45 / </t>
    </r>
    <r>
      <rPr>
        <sz val="10"/>
        <rFont val="Noto Sans CJK SC"/>
        <family val="2"/>
      </rPr>
      <t xml:space="preserve">心拍 </t>
    </r>
    <r>
      <rPr>
        <sz val="10"/>
        <rFont val="Arial"/>
        <family val="0"/>
        <charset val="1"/>
      </rPr>
      <t xml:space="preserve">140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150</t>
    </r>
  </si>
  <si>
    <t xml:space="preserve">輕鬆跑 6 km</t>
  </si>
  <si>
    <t xml:space="preserve">新鞋/舊鞋都行，先把習慣建起來</t>
  </si>
  <si>
    <t xml:space="preserve">✅</t>
  </si>
  <si>
    <t xml:space="preserve">照課表跑，最後小走一段。Strava 判定 5K PB，心拍偏高（閾值區 79%）</t>
  </si>
  <si>
    <t xml:space="preserve">45:29</t>
  </si>
  <si>
    <t xml:space="preserve">6:15</t>
  </si>
  <si>
    <t xml:space="preserve">晴れ 19°C / 濕度 77% / 東南東風 5 km/h</t>
  </si>
  <si>
    <t xml:space="preserve">Adidas EVO SL</t>
  </si>
  <si>
    <t xml:space="preserve">Apple Watch Series 11</t>
  </si>
  <si>
    <t xml:space="preserve">五</t>
  </si>
  <si>
    <t xml:space="preserve">休息</t>
  </si>
  <si>
    <t xml:space="preserve">六</t>
  </si>
  <si>
    <t xml:space="preserve">輕鬆跑 5 km</t>
  </si>
  <si>
    <t xml:space="preserve">日</t>
  </si>
  <si>
    <t xml:space="preserve">Long</t>
  </si>
  <si>
    <r>
      <rPr>
        <b val="true"/>
        <sz val="10"/>
        <rFont val="Arial"/>
        <family val="0"/>
        <charset val="1"/>
      </rPr>
      <t xml:space="preserve">7:20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7:50</t>
    </r>
  </si>
  <si>
    <t xml:space="preserve">長跑 12 km，全程聊天配速</t>
  </si>
  <si>
    <t xml:space="preserve">跑完記錄心拍，當基準</t>
  </si>
  <si>
    <t xml:space="preserve">一</t>
  </si>
  <si>
    <t xml:space="preserve">休息日：15 分鐘核心＋臀腿（深蹲、臀橋、單腳硬舉、側平板）</t>
  </si>
  <si>
    <t xml:space="preserve">二</t>
  </si>
  <si>
    <t xml:space="preserve">三</t>
  </si>
  <si>
    <t xml:space="preserve">MP</t>
  </si>
  <si>
    <r>
      <rPr>
        <sz val="10"/>
        <rFont val="Arial"/>
        <family val="0"/>
        <charset val="1"/>
      </rPr>
      <t xml:space="preserve">MP </t>
    </r>
    <r>
      <rPr>
        <sz val="10"/>
        <rFont val="Noto Sans CJK SC"/>
        <family val="2"/>
      </rPr>
      <t xml:space="preserve">段 </t>
    </r>
    <r>
      <rPr>
        <sz val="10"/>
        <rFont val="Arial"/>
        <family val="0"/>
        <charset val="1"/>
      </rPr>
      <t xml:space="preserve">6:35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6:50</t>
    </r>
  </si>
  <si>
    <t xml:space="preserve">2 km Easy + 3 km @ MP + 2 km Easy</t>
  </si>
  <si>
    <r>
      <rPr>
        <sz val="10"/>
        <rFont val="Arial"/>
        <family val="0"/>
        <charset val="1"/>
      </rPr>
      <t xml:space="preserve">MP </t>
    </r>
    <r>
      <rPr>
        <sz val="10"/>
        <rFont val="Noto Sans CJK SC"/>
        <family val="2"/>
      </rPr>
      <t xml:space="preserve">段心拍不要超過 </t>
    </r>
    <r>
      <rPr>
        <sz val="10"/>
        <rFont val="Arial"/>
        <family val="0"/>
        <charset val="1"/>
      </rPr>
      <t xml:space="preserve">165</t>
    </r>
  </si>
  <si>
    <r>
      <rPr>
        <b val="true"/>
        <sz val="10"/>
        <rFont val="Arial"/>
        <family val="0"/>
        <charset val="1"/>
      </rPr>
      <t xml:space="preserve">7:15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7:45</t>
    </r>
  </si>
  <si>
    <t xml:space="preserve">長跑 14 km</t>
  </si>
  <si>
    <t xml:space="preserve">坡跑</t>
  </si>
  <si>
    <t xml:space="preserve">上坡 6:00 以內 / 下坡慢跑</t>
  </si>
  <si>
    <r>
      <rPr>
        <sz val="10"/>
        <rFont val="Arial"/>
        <family val="0"/>
        <charset val="1"/>
      </rPr>
      <t xml:space="preserve">2 km Easy + 5×90 </t>
    </r>
    <r>
      <rPr>
        <sz val="10"/>
        <rFont val="Noto Sans CJK SC"/>
        <family val="2"/>
      </rPr>
      <t xml:space="preserve">秒上坡（慢跑下坡回復）</t>
    </r>
    <r>
      <rPr>
        <sz val="10"/>
        <rFont val="Arial"/>
        <family val="0"/>
        <charset val="1"/>
      </rPr>
      <t xml:space="preserve">+ 2 km Easy</t>
    </r>
  </si>
  <si>
    <t xml:space="preserve">模擬富士山 20〜30 km 河口湖→西湖爬坡</t>
  </si>
  <si>
    <r>
      <rPr>
        <b val="true"/>
        <sz val="10"/>
        <rFont val="Arial"/>
        <family val="0"/>
        <charset val="1"/>
      </rPr>
      <t xml:space="preserve">7:10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7:40</t>
    </r>
  </si>
  <si>
    <t xml:space="preserve">長跑 16 km</t>
  </si>
  <si>
    <t xml:space="preserve">找有起伏的路線（駒沢、代代木）</t>
  </si>
  <si>
    <t xml:space="preserve">第二階段｜馬拉松訓練</t>
  </si>
  <si>
    <t xml:space="preserve">輕鬆跑 7 km</t>
  </si>
  <si>
    <r>
      <rPr>
        <sz val="10"/>
        <rFont val="Arial"/>
        <family val="0"/>
        <charset val="1"/>
      </rPr>
      <t xml:space="preserve">MP </t>
    </r>
    <r>
      <rPr>
        <sz val="10"/>
        <rFont val="Noto Sans CJK SC"/>
        <family val="2"/>
      </rPr>
      <t xml:space="preserve">段 </t>
    </r>
    <r>
      <rPr>
        <sz val="10"/>
        <rFont val="Arial"/>
        <family val="0"/>
        <charset val="1"/>
      </rPr>
      <t xml:space="preserve">6:40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6:50</t>
    </r>
  </si>
  <si>
    <t xml:space="preserve">3 km Easy + 4 km @ MP + 1 km Easy</t>
  </si>
  <si>
    <r>
      <rPr>
        <b val="true"/>
        <sz val="10"/>
        <rFont val="Arial"/>
        <family val="0"/>
        <charset val="1"/>
      </rPr>
      <t xml:space="preserve">7:10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7:40 / </t>
    </r>
    <r>
      <rPr>
        <b val="true"/>
        <sz val="10"/>
        <rFont val="Noto Sans CJK SC"/>
        <family val="2"/>
      </rPr>
      <t xml:space="preserve">心拍 ≤</t>
    </r>
    <r>
      <rPr>
        <b val="true"/>
        <sz val="10"/>
        <rFont val="Arial"/>
        <family val="0"/>
        <charset val="1"/>
      </rPr>
      <t xml:space="preserve">155</t>
    </r>
  </si>
  <si>
    <t xml:space="preserve">長跑 18 km ★開始練補給</t>
  </si>
  <si>
    <t xml:space="preserve">每 40 分 1 包能量膠＋水，測試腸胃；穿比賽衣褲</t>
  </si>
  <si>
    <t xml:space="preserve">上坡 6:00 以內</t>
  </si>
  <si>
    <r>
      <rPr>
        <sz val="10"/>
        <rFont val="Arial"/>
        <family val="0"/>
        <charset val="1"/>
      </rPr>
      <t xml:space="preserve">2 km Easy + 6×90 </t>
    </r>
    <r>
      <rPr>
        <sz val="10"/>
        <rFont val="Noto Sans CJK SC"/>
        <family val="2"/>
      </rPr>
      <t xml:space="preserve">秒上坡 </t>
    </r>
    <r>
      <rPr>
        <sz val="10"/>
        <rFont val="Arial"/>
        <family val="0"/>
        <charset val="1"/>
      </rPr>
      <t xml:space="preserve">+ 2 km Easy</t>
    </r>
  </si>
  <si>
    <t xml:space="preserve">長跑 22 km</t>
  </si>
  <si>
    <t xml:space="preserve">補給照 11/1，加鹽錠或電解質</t>
  </si>
  <si>
    <t xml:space="preserve">Recovery</t>
  </si>
  <si>
    <r>
      <rPr>
        <sz val="10"/>
        <rFont val="Arial"/>
        <family val="0"/>
        <charset val="1"/>
      </rPr>
      <t xml:space="preserve">7:45+ / </t>
    </r>
    <r>
      <rPr>
        <sz val="10"/>
        <rFont val="Noto Sans CJK SC"/>
        <family val="2"/>
      </rPr>
      <t xml:space="preserve">心拍 ≤</t>
    </r>
    <r>
      <rPr>
        <sz val="10"/>
        <rFont val="Arial"/>
        <family val="0"/>
        <charset val="1"/>
      </rPr>
      <t xml:space="preserve">140</t>
    </r>
  </si>
  <si>
    <t xml:space="preserve">恢復跑 6 km 非常慢</t>
  </si>
  <si>
    <t xml:space="preserve">2 km Easy + 6 km @ MP + 1 km Easy</t>
  </si>
  <si>
    <t xml:space="preserve">第一次連續 6 km MP，看心拍能否守在 165 以下</t>
  </si>
  <si>
    <t xml:space="preserve">長跑 26 km</t>
  </si>
  <si>
    <t xml:space="preserve">超過 2.5 小時就停，不硬撐距離</t>
  </si>
  <si>
    <t xml:space="preserve">第三階段｜Peak</t>
  </si>
  <si>
    <t xml:space="preserve">坡跑+MP</t>
  </si>
  <si>
    <t xml:space="preserve">上坡 6:00 內 / MP 6:40〜6:50</t>
  </si>
  <si>
    <r>
      <rPr>
        <sz val="10"/>
        <rFont val="Arial"/>
        <family val="0"/>
        <charset val="1"/>
      </rPr>
      <t xml:space="preserve">3 km Easy + 4×90 </t>
    </r>
    <r>
      <rPr>
        <sz val="10"/>
        <rFont val="Noto Sans CJK SC"/>
        <family val="2"/>
      </rPr>
      <t xml:space="preserve">秒上坡 </t>
    </r>
    <r>
      <rPr>
        <sz val="10"/>
        <rFont val="Arial"/>
        <family val="0"/>
        <charset val="1"/>
      </rPr>
      <t xml:space="preserve">+ 3 km @ MP</t>
    </r>
  </si>
  <si>
    <t xml:space="preserve">坡後接 MP，模擬西湖爬坡後還要維持配速</t>
  </si>
  <si>
    <t xml:space="preserve">Peak Long</t>
  </si>
  <si>
    <t xml:space="preserve">前 10 km 7:15〜7:30 / 中 7:00〜7:15 / 後 10 km 6:50〜7:10</t>
  </si>
  <si>
    <t xml:space="preserve">★ 峰值長跑 30 km（比賽預演）</t>
  </si>
  <si>
    <t xml:space="preserve">比賽裝備、補給、起跑時間全部照比賽來。目標：完成且最後 5 km 心拍 &lt;170 還能控制 → 可試 5:00；否則比賽目標改 5:15〜5:30</t>
  </si>
  <si>
    <t xml:space="preserve">完全休息</t>
  </si>
  <si>
    <t xml:space="preserve">完全休息，不做肌力</t>
  </si>
  <si>
    <t xml:space="preserve">走路、伸展、睡飽</t>
  </si>
  <si>
    <t xml:space="preserve">恢復跑 5 km 非常慢</t>
  </si>
  <si>
    <t xml:space="preserve">前 15 km 7:10〜7:30 / 最後 5 km @ MP</t>
  </si>
  <si>
    <t xml:space="preserve">長跑 20 km，最後 5 km @ 6:40〜7:00</t>
  </si>
  <si>
    <t xml:space="preserve">減量週：確認 30 km 後身體已恢復</t>
  </si>
  <si>
    <t xml:space="preserve">第四階段｜Taper</t>
  </si>
  <si>
    <t xml:space="preserve">3 km Easy + 3 km @ MP + 2 km Easy</t>
  </si>
  <si>
    <t xml:space="preserve">維持配速感覺，不是練體能</t>
  </si>
  <si>
    <t xml:space="preserve">最後一次穿比賽鞋確認</t>
  </si>
  <si>
    <t xml:space="preserve">4 km Easy + 2 km @ MP</t>
  </si>
  <si>
    <t xml:space="preserve">快步</t>
  </si>
  <si>
    <t xml:space="preserve">輕鬆跑 4 km + 4×20 秒快步</t>
  </si>
  <si>
    <t xml:space="preserve">保持腿的彈性</t>
  </si>
  <si>
    <t xml:space="preserve">前一天抵達河口湖、早睡、裝備排好、早餐吃習慣的</t>
  </si>
  <si>
    <t xml:space="preserve">比賽日</t>
  </si>
  <si>
    <t xml:space="preserve">比賽</t>
  </si>
  <si>
    <t xml:space="preserve">前 10 km 7:05〜7:15 / 10〜20 km 6:55〜7:05 / 西湖爬坡段心拍優先 / 30 km 後視狀況</t>
  </si>
  <si>
    <t xml:space="preserve">🏁 富士山マラソン 42.195 km</t>
  </si>
  <si>
    <t xml:space="preserve">水站走路喝水；每 40 分補膠；26 km 前絕不加速</t>
  </si>
  <si>
    <t xml:space="preserve">黃底欄位（實際 km／完成／心得）自己填。MP = 馬拉松目標配速 6:40〜7:00。Easy 日寧慢勿快，心拍比配速重要。</t>
  </si>
  <si>
    <t xml:space="preserve">來源：依 10/6 Strava 10K 1:02:43（平均心拍 166）推估；比賽目標 5:00〜5:15，依 11/22 的 30 km 結果最終決定。</t>
  </si>
  <si>
    <t xml:space="preserve">起</t>
  </si>
  <si>
    <t xml:space="preserve">迄</t>
  </si>
  <si>
    <t xml:space="preserve">計畫總 km</t>
  </si>
  <si>
    <t xml:space="preserve">長跑 km</t>
  </si>
  <si>
    <t xml:space="preserve">實際總 km</t>
  </si>
  <si>
    <t xml:space="preserve">達成率</t>
  </si>
  <si>
    <t xml:space="preserve">重點</t>
  </si>
  <si>
    <t xml:space="preserve">開始建立習慣</t>
  </si>
  <si>
    <t xml:space="preserve">長跑 14</t>
  </si>
  <si>
    <t xml:space="preserve">長跑 16，第一次坡跑</t>
  </si>
  <si>
    <t xml:space="preserve">長跑 18，開始練補給</t>
  </si>
  <si>
    <t xml:space="preserve">長跑 22</t>
  </si>
  <si>
    <t xml:space="preserve">長跑 26（長跑最大週前的鋪墊）</t>
  </si>
  <si>
    <t xml:space="preserve">★ 峰值 30 km 比賽預演</t>
  </si>
  <si>
    <t xml:space="preserve">減量週，20 km 收尾 MP</t>
  </si>
  <si>
    <t xml:space="preserve">Taper 1</t>
  </si>
  <si>
    <t xml:space="preserve">Taper 2</t>
  </si>
  <si>
    <r>
      <rPr>
        <sz val="10"/>
        <rFont val="Arial"/>
        <family val="0"/>
        <charset val="1"/>
      </rPr>
      <t xml:space="preserve">🏁 12/14 </t>
    </r>
    <r>
      <rPr>
        <sz val="10"/>
        <rFont val="Noto Sans CJK SC"/>
        <family val="2"/>
      </rPr>
      <t xml:space="preserve">比賽</t>
    </r>
  </si>
  <si>
    <t xml:space="preserve">合計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</si>
</sst>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"/>
    <numFmt numFmtId="16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name val="Noto Sans CJK SC"/>
      <family val="2"/>
      <charset val="1"/>
    </font>
    <font>
      <b val="true"/>
      <sz val="10"/>
      <name val="Noto Sans CJK SC"/>
      <family val="2"/>
    </font>
    <font>
      <i val="true"/>
      <sz val="10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"/>
    <col collapsed="false" customWidth="true" hidden="false" outlineLevel="0" max="3" min="3" style="1" width="5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8"/>
    <col collapsed="false" customWidth="true" hidden="false" outlineLevel="0" max="7" min="7" style="1" width="30"/>
    <col collapsed="false" customWidth="true" hidden="false" outlineLevel="0" max="8" min="8" style="1" width="42"/>
    <col collapsed="false" customWidth="true" hidden="false" outlineLevel="0" max="9" min="9" style="1" width="46"/>
    <col collapsed="false" customWidth="true" hidden="false" outlineLevel="0" max="10" min="10" style="1" width="8"/>
    <col collapsed="false" customWidth="true" hidden="false" outlineLevel="0" max="11" min="11" style="1" width="6"/>
    <col collapsed="false" customWidth="true" hidden="false" outlineLevel="0" max="12" min="12" style="1" width="24"/>
    <col collapsed="false" customWidth="true" hidden="false" outlineLevel="0" max="13" min="13" style="1" width="8"/>
    <col collapsed="false" customWidth="true" hidden="false" outlineLevel="0" max="14" min="14" style="1" width="9"/>
    <col collapsed="false" customWidth="true" hidden="false" outlineLevel="0" max="16" min="15" style="1" width="8"/>
    <col collapsed="false" customWidth="true" hidden="false" outlineLevel="0" max="17" min="17" style="1" width="9"/>
    <col collapsed="false" customWidth="true" hidden="false" outlineLevel="0" max="18" min="18" style="1" width="8"/>
    <col collapsed="false" customWidth="true" hidden="false" outlineLevel="0" max="19" min="19" style="1" width="26"/>
    <col collapsed="false" customWidth="true" hidden="false" outlineLevel="0" max="20" min="20" style="1" width="14"/>
    <col collapsed="false" customWidth="true" hidden="false" outlineLevel="0" max="21" min="21" style="1" width="1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customFormat="false" ht="15" hidden="false" customHeight="true" outlineLevel="0" collapsed="false">
      <c r="A2" s="3" t="n">
        <v>1</v>
      </c>
      <c r="B2" s="4" t="n">
        <v>46303</v>
      </c>
      <c r="C2" s="5" t="s">
        <v>21</v>
      </c>
      <c r="D2" s="6" t="s">
        <v>22</v>
      </c>
      <c r="E2" s="3" t="s">
        <v>23</v>
      </c>
      <c r="F2" s="3" t="n">
        <v>6</v>
      </c>
      <c r="G2" s="7" t="s">
        <v>24</v>
      </c>
      <c r="H2" s="6" t="s">
        <v>25</v>
      </c>
      <c r="I2" s="6" t="s">
        <v>26</v>
      </c>
      <c r="J2" s="8" t="n">
        <v>7.27</v>
      </c>
      <c r="K2" s="3" t="s">
        <v>27</v>
      </c>
      <c r="L2" s="9" t="s">
        <v>28</v>
      </c>
      <c r="M2" s="8" t="s">
        <v>29</v>
      </c>
      <c r="N2" s="8" t="s">
        <v>30</v>
      </c>
      <c r="O2" s="8" t="n">
        <v>169</v>
      </c>
      <c r="P2" s="8" t="n">
        <v>176</v>
      </c>
      <c r="Q2" s="8" t="n">
        <v>171</v>
      </c>
      <c r="R2" s="8" t="n">
        <v>498</v>
      </c>
      <c r="S2" s="10" t="s">
        <v>31</v>
      </c>
      <c r="T2" s="8" t="s">
        <v>32</v>
      </c>
      <c r="U2" s="8" t="s">
        <v>33</v>
      </c>
    </row>
    <row r="3" customFormat="false" ht="15" hidden="false" customHeight="true" outlineLevel="0" collapsed="false">
      <c r="A3" s="11" t="n">
        <v>1</v>
      </c>
      <c r="B3" s="12" t="n">
        <v>46304</v>
      </c>
      <c r="C3" s="13" t="s">
        <v>34</v>
      </c>
      <c r="D3" s="14" t="s">
        <v>22</v>
      </c>
      <c r="E3" s="13" t="s">
        <v>35</v>
      </c>
      <c r="F3" s="11" t="n">
        <v>0</v>
      </c>
      <c r="G3" s="14"/>
      <c r="H3" s="14" t="s">
        <v>35</v>
      </c>
      <c r="I3" s="14"/>
      <c r="J3" s="8"/>
      <c r="K3" s="11"/>
      <c r="L3" s="9"/>
      <c r="M3" s="8"/>
      <c r="N3" s="8"/>
      <c r="O3" s="8"/>
      <c r="P3" s="8"/>
      <c r="Q3" s="8"/>
      <c r="R3" s="8"/>
      <c r="S3" s="8"/>
      <c r="T3" s="8"/>
      <c r="U3" s="8"/>
    </row>
    <row r="4" customFormat="false" ht="15" hidden="false" customHeight="true" outlineLevel="0" collapsed="false">
      <c r="A4" s="3" t="n">
        <v>1</v>
      </c>
      <c r="B4" s="4" t="n">
        <v>46305</v>
      </c>
      <c r="C4" s="5" t="s">
        <v>36</v>
      </c>
      <c r="D4" s="6" t="s">
        <v>22</v>
      </c>
      <c r="E4" s="3" t="s">
        <v>23</v>
      </c>
      <c r="F4" s="3" t="n">
        <v>5</v>
      </c>
      <c r="G4" s="7" t="s">
        <v>24</v>
      </c>
      <c r="H4" s="6" t="s">
        <v>37</v>
      </c>
      <c r="I4" s="7"/>
      <c r="J4" s="8"/>
      <c r="K4" s="3"/>
      <c r="L4" s="9"/>
      <c r="M4" s="8"/>
      <c r="N4" s="8"/>
      <c r="O4" s="8"/>
      <c r="P4" s="8"/>
      <c r="Q4" s="8"/>
      <c r="R4" s="8"/>
      <c r="S4" s="8"/>
      <c r="T4" s="8"/>
      <c r="U4" s="8"/>
    </row>
    <row r="5" customFormat="false" ht="15" hidden="false" customHeight="true" outlineLevel="0" collapsed="false">
      <c r="A5" s="15" t="n">
        <v>1</v>
      </c>
      <c r="B5" s="16" t="n">
        <v>46306</v>
      </c>
      <c r="C5" s="17" t="s">
        <v>38</v>
      </c>
      <c r="D5" s="18" t="s">
        <v>22</v>
      </c>
      <c r="E5" s="15" t="s">
        <v>39</v>
      </c>
      <c r="F5" s="15" t="n">
        <v>12</v>
      </c>
      <c r="G5" s="19" t="s">
        <v>40</v>
      </c>
      <c r="H5" s="18" t="s">
        <v>41</v>
      </c>
      <c r="I5" s="18" t="s">
        <v>42</v>
      </c>
      <c r="J5" s="20"/>
      <c r="K5" s="15"/>
      <c r="L5" s="21"/>
      <c r="M5" s="8"/>
      <c r="N5" s="8"/>
      <c r="O5" s="8"/>
      <c r="P5" s="8"/>
      <c r="Q5" s="8"/>
      <c r="R5" s="8"/>
      <c r="S5" s="8"/>
      <c r="T5" s="8"/>
      <c r="U5" s="8"/>
    </row>
    <row r="6" customFormat="false" ht="29.25" hidden="false" customHeight="true" outlineLevel="0" collapsed="false">
      <c r="A6" s="11" t="n">
        <v>2</v>
      </c>
      <c r="B6" s="12" t="n">
        <v>46307</v>
      </c>
      <c r="C6" s="13" t="s">
        <v>43</v>
      </c>
      <c r="D6" s="14" t="s">
        <v>22</v>
      </c>
      <c r="E6" s="13" t="s">
        <v>35</v>
      </c>
      <c r="F6" s="11" t="n">
        <v>0</v>
      </c>
      <c r="G6" s="14"/>
      <c r="H6" s="14" t="s">
        <v>35</v>
      </c>
      <c r="I6" s="14" t="s">
        <v>44</v>
      </c>
      <c r="J6" s="8"/>
      <c r="K6" s="11"/>
      <c r="L6" s="9"/>
      <c r="M6" s="8"/>
      <c r="N6" s="8"/>
      <c r="O6" s="8"/>
      <c r="P6" s="8"/>
      <c r="Q6" s="8"/>
      <c r="R6" s="8"/>
      <c r="S6" s="8"/>
      <c r="T6" s="8"/>
      <c r="U6" s="8"/>
    </row>
    <row r="7" customFormat="false" ht="15" hidden="false" customHeight="true" outlineLevel="0" collapsed="false">
      <c r="A7" s="3" t="n">
        <v>2</v>
      </c>
      <c r="B7" s="4" t="n">
        <v>46308</v>
      </c>
      <c r="C7" s="5" t="s">
        <v>45</v>
      </c>
      <c r="D7" s="6" t="s">
        <v>22</v>
      </c>
      <c r="E7" s="3" t="s">
        <v>23</v>
      </c>
      <c r="F7" s="3" t="n">
        <v>6</v>
      </c>
      <c r="G7" s="7" t="s">
        <v>24</v>
      </c>
      <c r="H7" s="6" t="s">
        <v>25</v>
      </c>
      <c r="I7" s="7"/>
      <c r="J7" s="8"/>
      <c r="K7" s="3"/>
      <c r="L7" s="9"/>
      <c r="M7" s="8"/>
      <c r="N7" s="8"/>
      <c r="O7" s="8"/>
      <c r="P7" s="8"/>
      <c r="Q7" s="8"/>
      <c r="R7" s="8"/>
      <c r="S7" s="8"/>
      <c r="T7" s="8"/>
      <c r="U7" s="8"/>
    </row>
    <row r="8" customFormat="false" ht="15" hidden="false" customHeight="true" outlineLevel="0" collapsed="false">
      <c r="A8" s="22" t="n">
        <v>2</v>
      </c>
      <c r="B8" s="23" t="n">
        <v>46309</v>
      </c>
      <c r="C8" s="24" t="s">
        <v>46</v>
      </c>
      <c r="D8" s="25" t="s">
        <v>22</v>
      </c>
      <c r="E8" s="22" t="s">
        <v>47</v>
      </c>
      <c r="F8" s="22" t="n">
        <v>7</v>
      </c>
      <c r="G8" s="26" t="s">
        <v>48</v>
      </c>
      <c r="H8" s="26" t="s">
        <v>49</v>
      </c>
      <c r="I8" s="26" t="s">
        <v>50</v>
      </c>
      <c r="J8" s="8"/>
      <c r="K8" s="22"/>
      <c r="L8" s="9"/>
      <c r="M8" s="8"/>
      <c r="N8" s="8"/>
      <c r="O8" s="8"/>
      <c r="P8" s="8"/>
      <c r="Q8" s="8"/>
      <c r="R8" s="8"/>
      <c r="S8" s="8"/>
      <c r="T8" s="8"/>
      <c r="U8" s="8"/>
    </row>
    <row r="9" customFormat="false" ht="29.25" hidden="false" customHeight="true" outlineLevel="0" collapsed="false">
      <c r="A9" s="11" t="n">
        <v>2</v>
      </c>
      <c r="B9" s="12" t="n">
        <v>46310</v>
      </c>
      <c r="C9" s="13" t="s">
        <v>21</v>
      </c>
      <c r="D9" s="14" t="s">
        <v>22</v>
      </c>
      <c r="E9" s="13" t="s">
        <v>35</v>
      </c>
      <c r="F9" s="11" t="n">
        <v>0</v>
      </c>
      <c r="G9" s="14"/>
      <c r="H9" s="14" t="s">
        <v>35</v>
      </c>
      <c r="I9" s="14" t="s">
        <v>44</v>
      </c>
      <c r="J9" s="8"/>
      <c r="K9" s="11"/>
      <c r="L9" s="9"/>
      <c r="M9" s="8"/>
      <c r="N9" s="8"/>
      <c r="O9" s="8"/>
      <c r="P9" s="8"/>
      <c r="Q9" s="8"/>
      <c r="R9" s="8"/>
      <c r="S9" s="8"/>
      <c r="T9" s="8"/>
      <c r="U9" s="8"/>
    </row>
    <row r="10" customFormat="false" ht="15" hidden="false" customHeight="true" outlineLevel="0" collapsed="false">
      <c r="A10" s="3" t="n">
        <v>2</v>
      </c>
      <c r="B10" s="4" t="n">
        <v>46311</v>
      </c>
      <c r="C10" s="5" t="s">
        <v>34</v>
      </c>
      <c r="D10" s="6" t="s">
        <v>22</v>
      </c>
      <c r="E10" s="3" t="s">
        <v>23</v>
      </c>
      <c r="F10" s="3" t="n">
        <v>6</v>
      </c>
      <c r="G10" s="7" t="s">
        <v>24</v>
      </c>
      <c r="H10" s="6" t="s">
        <v>25</v>
      </c>
      <c r="I10" s="7"/>
      <c r="J10" s="8"/>
      <c r="K10" s="3"/>
      <c r="L10" s="9"/>
      <c r="M10" s="8"/>
      <c r="N10" s="8"/>
      <c r="O10" s="8"/>
      <c r="P10" s="8"/>
      <c r="Q10" s="8"/>
      <c r="R10" s="8"/>
      <c r="S10" s="8"/>
      <c r="T10" s="8"/>
      <c r="U10" s="8"/>
    </row>
    <row r="11" customFormat="false" ht="15" hidden="false" customHeight="true" outlineLevel="0" collapsed="false">
      <c r="A11" s="11" t="n">
        <v>2</v>
      </c>
      <c r="B11" s="12" t="n">
        <v>46312</v>
      </c>
      <c r="C11" s="13" t="s">
        <v>36</v>
      </c>
      <c r="D11" s="14" t="s">
        <v>22</v>
      </c>
      <c r="E11" s="13" t="s">
        <v>35</v>
      </c>
      <c r="F11" s="11" t="n">
        <v>0</v>
      </c>
      <c r="G11" s="14"/>
      <c r="H11" s="14" t="s">
        <v>35</v>
      </c>
      <c r="I11" s="14"/>
      <c r="J11" s="8"/>
      <c r="K11" s="11"/>
      <c r="L11" s="9"/>
      <c r="M11" s="8"/>
      <c r="N11" s="8"/>
      <c r="O11" s="8"/>
      <c r="P11" s="8"/>
      <c r="Q11" s="8"/>
      <c r="R11" s="8"/>
      <c r="S11" s="8"/>
      <c r="T11" s="8"/>
      <c r="U11" s="8"/>
    </row>
    <row r="12" customFormat="false" ht="15" hidden="false" customHeight="true" outlineLevel="0" collapsed="false">
      <c r="A12" s="15" t="n">
        <v>2</v>
      </c>
      <c r="B12" s="16" t="n">
        <v>46313</v>
      </c>
      <c r="C12" s="17" t="s">
        <v>38</v>
      </c>
      <c r="D12" s="18" t="s">
        <v>22</v>
      </c>
      <c r="E12" s="15" t="s">
        <v>39</v>
      </c>
      <c r="F12" s="15" t="n">
        <v>14</v>
      </c>
      <c r="G12" s="19" t="s">
        <v>51</v>
      </c>
      <c r="H12" s="18" t="s">
        <v>52</v>
      </c>
      <c r="I12" s="19"/>
      <c r="J12" s="20"/>
      <c r="K12" s="15"/>
      <c r="L12" s="21"/>
      <c r="M12" s="8"/>
      <c r="N12" s="8"/>
      <c r="O12" s="8"/>
      <c r="P12" s="8"/>
      <c r="Q12" s="8"/>
      <c r="R12" s="8"/>
      <c r="S12" s="8"/>
      <c r="T12" s="8"/>
      <c r="U12" s="8"/>
    </row>
    <row r="13" customFormat="false" ht="29.25" hidden="false" customHeight="true" outlineLevel="0" collapsed="false">
      <c r="A13" s="11" t="n">
        <v>3</v>
      </c>
      <c r="B13" s="12" t="n">
        <v>46314</v>
      </c>
      <c r="C13" s="13" t="s">
        <v>43</v>
      </c>
      <c r="D13" s="14" t="s">
        <v>22</v>
      </c>
      <c r="E13" s="13" t="s">
        <v>35</v>
      </c>
      <c r="F13" s="11" t="n">
        <v>0</v>
      </c>
      <c r="G13" s="14"/>
      <c r="H13" s="14" t="s">
        <v>35</v>
      </c>
      <c r="I13" s="14" t="s">
        <v>44</v>
      </c>
      <c r="J13" s="8"/>
      <c r="K13" s="11"/>
      <c r="L13" s="9"/>
      <c r="M13" s="8"/>
      <c r="N13" s="8"/>
      <c r="O13" s="8"/>
      <c r="P13" s="8"/>
      <c r="Q13" s="8"/>
      <c r="R13" s="8"/>
      <c r="S13" s="8"/>
      <c r="T13" s="8"/>
      <c r="U13" s="8"/>
    </row>
    <row r="14" customFormat="false" ht="15" hidden="false" customHeight="true" outlineLevel="0" collapsed="false">
      <c r="A14" s="3" t="n">
        <v>3</v>
      </c>
      <c r="B14" s="4" t="n">
        <v>46315</v>
      </c>
      <c r="C14" s="5" t="s">
        <v>45</v>
      </c>
      <c r="D14" s="6" t="s">
        <v>22</v>
      </c>
      <c r="E14" s="3" t="s">
        <v>23</v>
      </c>
      <c r="F14" s="3" t="n">
        <v>6</v>
      </c>
      <c r="G14" s="7" t="s">
        <v>24</v>
      </c>
      <c r="H14" s="6" t="s">
        <v>25</v>
      </c>
      <c r="I14" s="7"/>
      <c r="J14" s="8"/>
      <c r="K14" s="3"/>
      <c r="L14" s="9"/>
      <c r="M14" s="8"/>
      <c r="N14" s="8"/>
      <c r="O14" s="8"/>
      <c r="P14" s="8"/>
      <c r="Q14" s="8"/>
      <c r="R14" s="8"/>
      <c r="S14" s="8"/>
      <c r="T14" s="8"/>
      <c r="U14" s="8"/>
    </row>
    <row r="15" customFormat="false" ht="26.25" hidden="false" customHeight="true" outlineLevel="0" collapsed="false">
      <c r="A15" s="22" t="n">
        <v>3</v>
      </c>
      <c r="B15" s="23" t="n">
        <v>46316</v>
      </c>
      <c r="C15" s="24" t="s">
        <v>46</v>
      </c>
      <c r="D15" s="25" t="s">
        <v>22</v>
      </c>
      <c r="E15" s="24" t="s">
        <v>53</v>
      </c>
      <c r="F15" s="22" t="n">
        <v>8</v>
      </c>
      <c r="G15" s="25" t="s">
        <v>54</v>
      </c>
      <c r="H15" s="26" t="s">
        <v>55</v>
      </c>
      <c r="I15" s="25" t="s">
        <v>56</v>
      </c>
      <c r="J15" s="8"/>
      <c r="K15" s="22"/>
      <c r="L15" s="9"/>
      <c r="M15" s="8"/>
      <c r="N15" s="8"/>
      <c r="O15" s="8"/>
      <c r="P15" s="8"/>
      <c r="Q15" s="8"/>
      <c r="R15" s="8"/>
      <c r="S15" s="8"/>
      <c r="T15" s="8"/>
      <c r="U15" s="8"/>
    </row>
    <row r="16" customFormat="false" ht="29.25" hidden="false" customHeight="true" outlineLevel="0" collapsed="false">
      <c r="A16" s="11" t="n">
        <v>3</v>
      </c>
      <c r="B16" s="12" t="n">
        <v>46317</v>
      </c>
      <c r="C16" s="13" t="s">
        <v>21</v>
      </c>
      <c r="D16" s="14" t="s">
        <v>22</v>
      </c>
      <c r="E16" s="13" t="s">
        <v>35</v>
      </c>
      <c r="F16" s="11" t="n">
        <v>0</v>
      </c>
      <c r="G16" s="14"/>
      <c r="H16" s="14" t="s">
        <v>35</v>
      </c>
      <c r="I16" s="14" t="s">
        <v>44</v>
      </c>
      <c r="J16" s="8"/>
      <c r="K16" s="11"/>
      <c r="L16" s="9"/>
      <c r="M16" s="8"/>
      <c r="N16" s="8"/>
      <c r="O16" s="8"/>
      <c r="P16" s="8"/>
      <c r="Q16" s="8"/>
      <c r="R16" s="8"/>
      <c r="S16" s="8"/>
      <c r="T16" s="8"/>
      <c r="U16" s="8"/>
    </row>
    <row r="17" customFormat="false" ht="15" hidden="false" customHeight="true" outlineLevel="0" collapsed="false">
      <c r="A17" s="3" t="n">
        <v>3</v>
      </c>
      <c r="B17" s="4" t="n">
        <v>46318</v>
      </c>
      <c r="C17" s="5" t="s">
        <v>34</v>
      </c>
      <c r="D17" s="6" t="s">
        <v>22</v>
      </c>
      <c r="E17" s="3" t="s">
        <v>23</v>
      </c>
      <c r="F17" s="3" t="n">
        <v>6</v>
      </c>
      <c r="G17" s="7" t="s">
        <v>24</v>
      </c>
      <c r="H17" s="6" t="s">
        <v>25</v>
      </c>
      <c r="I17" s="7"/>
      <c r="J17" s="8"/>
      <c r="K17" s="3"/>
      <c r="L17" s="9"/>
      <c r="M17" s="8"/>
      <c r="N17" s="8"/>
      <c r="O17" s="8"/>
      <c r="P17" s="8"/>
      <c r="Q17" s="8"/>
      <c r="R17" s="8"/>
      <c r="S17" s="8"/>
      <c r="T17" s="8"/>
      <c r="U17" s="8"/>
    </row>
    <row r="18" customFormat="false" ht="15" hidden="false" customHeight="true" outlineLevel="0" collapsed="false">
      <c r="A18" s="11" t="n">
        <v>3</v>
      </c>
      <c r="B18" s="12" t="n">
        <v>46319</v>
      </c>
      <c r="C18" s="13" t="s">
        <v>36</v>
      </c>
      <c r="D18" s="14" t="s">
        <v>22</v>
      </c>
      <c r="E18" s="13" t="s">
        <v>35</v>
      </c>
      <c r="F18" s="11" t="n">
        <v>0</v>
      </c>
      <c r="G18" s="14"/>
      <c r="H18" s="14" t="s">
        <v>35</v>
      </c>
      <c r="I18" s="14"/>
      <c r="J18" s="8"/>
      <c r="K18" s="11"/>
      <c r="L18" s="9"/>
      <c r="M18" s="8"/>
      <c r="N18" s="8"/>
      <c r="O18" s="8"/>
      <c r="P18" s="8"/>
      <c r="Q18" s="8"/>
      <c r="R18" s="8"/>
      <c r="S18" s="8"/>
      <c r="T18" s="8"/>
      <c r="U18" s="8"/>
    </row>
    <row r="19" customFormat="false" ht="15" hidden="false" customHeight="true" outlineLevel="0" collapsed="false">
      <c r="A19" s="15" t="n">
        <v>3</v>
      </c>
      <c r="B19" s="16" t="n">
        <v>46320</v>
      </c>
      <c r="C19" s="17" t="s">
        <v>38</v>
      </c>
      <c r="D19" s="18" t="s">
        <v>22</v>
      </c>
      <c r="E19" s="15" t="s">
        <v>39</v>
      </c>
      <c r="F19" s="15" t="n">
        <v>16</v>
      </c>
      <c r="G19" s="19" t="s">
        <v>57</v>
      </c>
      <c r="H19" s="18" t="s">
        <v>58</v>
      </c>
      <c r="I19" s="18" t="s">
        <v>59</v>
      </c>
      <c r="J19" s="20"/>
      <c r="K19" s="15"/>
      <c r="L19" s="21"/>
      <c r="M19" s="8"/>
      <c r="N19" s="8"/>
      <c r="O19" s="8"/>
      <c r="P19" s="8"/>
      <c r="Q19" s="8"/>
      <c r="R19" s="8"/>
      <c r="S19" s="8"/>
      <c r="T19" s="8"/>
      <c r="U19" s="8"/>
    </row>
    <row r="20" customFormat="false" ht="29.25" hidden="false" customHeight="true" outlineLevel="0" collapsed="false">
      <c r="A20" s="11" t="n">
        <v>4</v>
      </c>
      <c r="B20" s="12" t="n">
        <v>46321</v>
      </c>
      <c r="C20" s="13" t="s">
        <v>43</v>
      </c>
      <c r="D20" s="14" t="s">
        <v>60</v>
      </c>
      <c r="E20" s="13" t="s">
        <v>35</v>
      </c>
      <c r="F20" s="11" t="n">
        <v>0</v>
      </c>
      <c r="G20" s="14"/>
      <c r="H20" s="14" t="s">
        <v>35</v>
      </c>
      <c r="I20" s="14" t="s">
        <v>44</v>
      </c>
      <c r="J20" s="8"/>
      <c r="K20" s="11"/>
      <c r="L20" s="9"/>
      <c r="M20" s="8"/>
      <c r="N20" s="8"/>
      <c r="O20" s="8"/>
      <c r="P20" s="8"/>
      <c r="Q20" s="8"/>
      <c r="R20" s="8"/>
      <c r="S20" s="8"/>
      <c r="T20" s="8"/>
      <c r="U20" s="8"/>
    </row>
    <row r="21" customFormat="false" ht="15" hidden="false" customHeight="true" outlineLevel="0" collapsed="false">
      <c r="A21" s="3" t="n">
        <v>4</v>
      </c>
      <c r="B21" s="4" t="n">
        <v>46322</v>
      </c>
      <c r="C21" s="5" t="s">
        <v>45</v>
      </c>
      <c r="D21" s="6" t="s">
        <v>60</v>
      </c>
      <c r="E21" s="3" t="s">
        <v>23</v>
      </c>
      <c r="F21" s="3" t="n">
        <v>7</v>
      </c>
      <c r="G21" s="7" t="s">
        <v>24</v>
      </c>
      <c r="H21" s="6" t="s">
        <v>61</v>
      </c>
      <c r="I21" s="7"/>
      <c r="J21" s="8"/>
      <c r="K21" s="3"/>
      <c r="L21" s="9"/>
      <c r="M21" s="8"/>
      <c r="N21" s="8"/>
      <c r="O21" s="8"/>
      <c r="P21" s="8"/>
      <c r="Q21" s="8"/>
      <c r="R21" s="8"/>
      <c r="S21" s="8"/>
      <c r="T21" s="8"/>
      <c r="U21" s="8"/>
    </row>
    <row r="22" customFormat="false" ht="15" hidden="false" customHeight="true" outlineLevel="0" collapsed="false">
      <c r="A22" s="22" t="n">
        <v>4</v>
      </c>
      <c r="B22" s="23" t="n">
        <v>46323</v>
      </c>
      <c r="C22" s="24" t="s">
        <v>46</v>
      </c>
      <c r="D22" s="25" t="s">
        <v>60</v>
      </c>
      <c r="E22" s="22" t="s">
        <v>47</v>
      </c>
      <c r="F22" s="22" t="n">
        <v>8</v>
      </c>
      <c r="G22" s="26" t="s">
        <v>62</v>
      </c>
      <c r="H22" s="26" t="s">
        <v>63</v>
      </c>
      <c r="I22" s="26"/>
      <c r="J22" s="8"/>
      <c r="K22" s="22"/>
      <c r="L22" s="9"/>
      <c r="M22" s="8"/>
      <c r="N22" s="8"/>
      <c r="O22" s="8"/>
      <c r="P22" s="8"/>
      <c r="Q22" s="8"/>
      <c r="R22" s="8"/>
      <c r="S22" s="8"/>
      <c r="T22" s="8"/>
      <c r="U22" s="8"/>
    </row>
    <row r="23" customFormat="false" ht="29.25" hidden="false" customHeight="true" outlineLevel="0" collapsed="false">
      <c r="A23" s="11" t="n">
        <v>4</v>
      </c>
      <c r="B23" s="12" t="n">
        <v>46324</v>
      </c>
      <c r="C23" s="13" t="s">
        <v>21</v>
      </c>
      <c r="D23" s="14" t="s">
        <v>60</v>
      </c>
      <c r="E23" s="13" t="s">
        <v>35</v>
      </c>
      <c r="F23" s="11" t="n">
        <v>0</v>
      </c>
      <c r="G23" s="14"/>
      <c r="H23" s="14" t="s">
        <v>35</v>
      </c>
      <c r="I23" s="14" t="s">
        <v>44</v>
      </c>
      <c r="J23" s="8"/>
      <c r="K23" s="11"/>
      <c r="L23" s="9"/>
      <c r="M23" s="8"/>
      <c r="N23" s="8"/>
      <c r="O23" s="8"/>
      <c r="P23" s="8"/>
      <c r="Q23" s="8"/>
      <c r="R23" s="8"/>
      <c r="S23" s="8"/>
      <c r="T23" s="8"/>
      <c r="U23" s="8"/>
    </row>
    <row r="24" customFormat="false" ht="15" hidden="false" customHeight="true" outlineLevel="0" collapsed="false">
      <c r="A24" s="3" t="n">
        <v>4</v>
      </c>
      <c r="B24" s="4" t="n">
        <v>46325</v>
      </c>
      <c r="C24" s="5" t="s">
        <v>34</v>
      </c>
      <c r="D24" s="6" t="s">
        <v>60</v>
      </c>
      <c r="E24" s="3" t="s">
        <v>23</v>
      </c>
      <c r="F24" s="3" t="n">
        <v>6</v>
      </c>
      <c r="G24" s="7" t="s">
        <v>24</v>
      </c>
      <c r="H24" s="6" t="s">
        <v>25</v>
      </c>
      <c r="I24" s="7"/>
      <c r="J24" s="8"/>
      <c r="K24" s="3"/>
      <c r="L24" s="9"/>
      <c r="M24" s="8"/>
      <c r="N24" s="8"/>
      <c r="O24" s="8"/>
      <c r="P24" s="8"/>
      <c r="Q24" s="8"/>
      <c r="R24" s="8"/>
      <c r="S24" s="8"/>
      <c r="T24" s="8"/>
      <c r="U24" s="8"/>
    </row>
    <row r="25" customFormat="false" ht="15" hidden="false" customHeight="true" outlineLevel="0" collapsed="false">
      <c r="A25" s="11" t="n">
        <v>4</v>
      </c>
      <c r="B25" s="12" t="n">
        <v>46326</v>
      </c>
      <c r="C25" s="13" t="s">
        <v>36</v>
      </c>
      <c r="D25" s="14" t="s">
        <v>60</v>
      </c>
      <c r="E25" s="13" t="s">
        <v>35</v>
      </c>
      <c r="F25" s="11" t="n">
        <v>0</v>
      </c>
      <c r="G25" s="14"/>
      <c r="H25" s="14" t="s">
        <v>35</v>
      </c>
      <c r="I25" s="14"/>
      <c r="J25" s="8"/>
      <c r="K25" s="11"/>
      <c r="L25" s="9"/>
      <c r="M25" s="8"/>
      <c r="N25" s="8"/>
      <c r="O25" s="8"/>
      <c r="P25" s="8"/>
      <c r="Q25" s="8"/>
      <c r="R25" s="8"/>
      <c r="S25" s="8"/>
      <c r="T25" s="8"/>
      <c r="U25" s="8"/>
    </row>
    <row r="26" customFormat="false" ht="15" hidden="false" customHeight="true" outlineLevel="0" collapsed="false">
      <c r="A26" s="15" t="n">
        <v>4</v>
      </c>
      <c r="B26" s="16" t="n">
        <v>46327</v>
      </c>
      <c r="C26" s="17" t="s">
        <v>38</v>
      </c>
      <c r="D26" s="18" t="s">
        <v>60</v>
      </c>
      <c r="E26" s="15" t="s">
        <v>39</v>
      </c>
      <c r="F26" s="15" t="n">
        <v>18</v>
      </c>
      <c r="G26" s="19" t="s">
        <v>64</v>
      </c>
      <c r="H26" s="18" t="s">
        <v>65</v>
      </c>
      <c r="I26" s="18" t="s">
        <v>66</v>
      </c>
      <c r="J26" s="20"/>
      <c r="K26" s="15"/>
      <c r="L26" s="21"/>
      <c r="M26" s="8"/>
      <c r="N26" s="8"/>
      <c r="O26" s="8"/>
      <c r="P26" s="8"/>
      <c r="Q26" s="8"/>
      <c r="R26" s="8"/>
      <c r="S26" s="8"/>
      <c r="T26" s="8"/>
      <c r="U26" s="8"/>
    </row>
    <row r="27" customFormat="false" ht="29.25" hidden="false" customHeight="true" outlineLevel="0" collapsed="false">
      <c r="A27" s="11" t="n">
        <v>5</v>
      </c>
      <c r="B27" s="12" t="n">
        <v>46328</v>
      </c>
      <c r="C27" s="13" t="s">
        <v>43</v>
      </c>
      <c r="D27" s="14" t="s">
        <v>60</v>
      </c>
      <c r="E27" s="13" t="s">
        <v>35</v>
      </c>
      <c r="F27" s="11" t="n">
        <v>0</v>
      </c>
      <c r="G27" s="14"/>
      <c r="H27" s="14" t="s">
        <v>35</v>
      </c>
      <c r="I27" s="14" t="s">
        <v>44</v>
      </c>
      <c r="J27" s="8"/>
      <c r="K27" s="11"/>
      <c r="L27" s="9"/>
      <c r="M27" s="8"/>
      <c r="N27" s="8"/>
      <c r="O27" s="8"/>
      <c r="P27" s="8"/>
      <c r="Q27" s="8"/>
      <c r="R27" s="8"/>
      <c r="S27" s="8"/>
      <c r="T27" s="8"/>
      <c r="U27" s="8"/>
    </row>
    <row r="28" customFormat="false" ht="15" hidden="false" customHeight="true" outlineLevel="0" collapsed="false">
      <c r="A28" s="3" t="n">
        <v>5</v>
      </c>
      <c r="B28" s="4" t="n">
        <v>46329</v>
      </c>
      <c r="C28" s="5" t="s">
        <v>45</v>
      </c>
      <c r="D28" s="6" t="s">
        <v>60</v>
      </c>
      <c r="E28" s="3" t="s">
        <v>23</v>
      </c>
      <c r="F28" s="3" t="n">
        <v>7</v>
      </c>
      <c r="G28" s="7" t="s">
        <v>24</v>
      </c>
      <c r="H28" s="6" t="s">
        <v>61</v>
      </c>
      <c r="I28" s="7"/>
      <c r="J28" s="8"/>
      <c r="K28" s="3"/>
      <c r="L28" s="9"/>
      <c r="M28" s="8"/>
      <c r="N28" s="8"/>
      <c r="O28" s="8"/>
      <c r="P28" s="8"/>
      <c r="Q28" s="8"/>
      <c r="R28" s="8"/>
      <c r="S28" s="8"/>
      <c r="T28" s="8"/>
      <c r="U28" s="8"/>
    </row>
    <row r="29" customFormat="false" ht="15" hidden="false" customHeight="true" outlineLevel="0" collapsed="false">
      <c r="A29" s="22" t="n">
        <v>5</v>
      </c>
      <c r="B29" s="23" t="n">
        <v>46330</v>
      </c>
      <c r="C29" s="24" t="s">
        <v>46</v>
      </c>
      <c r="D29" s="25" t="s">
        <v>60</v>
      </c>
      <c r="E29" s="24" t="s">
        <v>53</v>
      </c>
      <c r="F29" s="22" t="n">
        <v>8</v>
      </c>
      <c r="G29" s="25" t="s">
        <v>67</v>
      </c>
      <c r="H29" s="26" t="s">
        <v>68</v>
      </c>
      <c r="I29" s="26"/>
      <c r="J29" s="8"/>
      <c r="K29" s="22"/>
      <c r="L29" s="9"/>
      <c r="M29" s="8"/>
      <c r="N29" s="8"/>
      <c r="O29" s="8"/>
      <c r="P29" s="8"/>
      <c r="Q29" s="8"/>
      <c r="R29" s="8"/>
      <c r="S29" s="8"/>
      <c r="T29" s="8"/>
      <c r="U29" s="8"/>
    </row>
    <row r="30" customFormat="false" ht="29.25" hidden="false" customHeight="true" outlineLevel="0" collapsed="false">
      <c r="A30" s="11" t="n">
        <v>5</v>
      </c>
      <c r="B30" s="12" t="n">
        <v>46331</v>
      </c>
      <c r="C30" s="13" t="s">
        <v>21</v>
      </c>
      <c r="D30" s="14" t="s">
        <v>60</v>
      </c>
      <c r="E30" s="13" t="s">
        <v>35</v>
      </c>
      <c r="F30" s="11" t="n">
        <v>0</v>
      </c>
      <c r="G30" s="14"/>
      <c r="H30" s="14" t="s">
        <v>35</v>
      </c>
      <c r="I30" s="14" t="s">
        <v>44</v>
      </c>
      <c r="J30" s="8"/>
      <c r="K30" s="11"/>
      <c r="L30" s="9"/>
      <c r="M30" s="8"/>
      <c r="N30" s="8"/>
      <c r="O30" s="8"/>
      <c r="P30" s="8"/>
      <c r="Q30" s="8"/>
      <c r="R30" s="8"/>
      <c r="S30" s="8"/>
      <c r="T30" s="8"/>
      <c r="U30" s="8"/>
    </row>
    <row r="31" customFormat="false" ht="15" hidden="false" customHeight="true" outlineLevel="0" collapsed="false">
      <c r="A31" s="3" t="n">
        <v>5</v>
      </c>
      <c r="B31" s="4" t="n">
        <v>46332</v>
      </c>
      <c r="C31" s="5" t="s">
        <v>34</v>
      </c>
      <c r="D31" s="6" t="s">
        <v>60</v>
      </c>
      <c r="E31" s="3" t="s">
        <v>23</v>
      </c>
      <c r="F31" s="3" t="n">
        <v>6</v>
      </c>
      <c r="G31" s="7" t="s">
        <v>24</v>
      </c>
      <c r="H31" s="6" t="s">
        <v>25</v>
      </c>
      <c r="I31" s="7"/>
      <c r="J31" s="8"/>
      <c r="K31" s="3"/>
      <c r="L31" s="9"/>
      <c r="M31" s="8"/>
      <c r="N31" s="8"/>
      <c r="O31" s="8"/>
      <c r="P31" s="8"/>
      <c r="Q31" s="8"/>
      <c r="R31" s="8"/>
      <c r="S31" s="8"/>
      <c r="T31" s="8"/>
      <c r="U31" s="8"/>
    </row>
    <row r="32" customFormat="false" ht="15" hidden="false" customHeight="true" outlineLevel="0" collapsed="false">
      <c r="A32" s="11" t="n">
        <v>5</v>
      </c>
      <c r="B32" s="12" t="n">
        <v>46333</v>
      </c>
      <c r="C32" s="13" t="s">
        <v>36</v>
      </c>
      <c r="D32" s="14" t="s">
        <v>60</v>
      </c>
      <c r="E32" s="13" t="s">
        <v>35</v>
      </c>
      <c r="F32" s="11" t="n">
        <v>0</v>
      </c>
      <c r="G32" s="14"/>
      <c r="H32" s="14" t="s">
        <v>35</v>
      </c>
      <c r="I32" s="14"/>
      <c r="J32" s="8"/>
      <c r="K32" s="11"/>
      <c r="L32" s="9"/>
      <c r="M32" s="8"/>
      <c r="N32" s="8"/>
      <c r="O32" s="8"/>
      <c r="P32" s="8"/>
      <c r="Q32" s="8"/>
      <c r="R32" s="8"/>
      <c r="S32" s="8"/>
      <c r="T32" s="8"/>
      <c r="U32" s="8"/>
    </row>
    <row r="33" customFormat="false" ht="15" hidden="false" customHeight="true" outlineLevel="0" collapsed="false">
      <c r="A33" s="15" t="n">
        <v>5</v>
      </c>
      <c r="B33" s="16" t="n">
        <v>46334</v>
      </c>
      <c r="C33" s="17" t="s">
        <v>38</v>
      </c>
      <c r="D33" s="18" t="s">
        <v>60</v>
      </c>
      <c r="E33" s="15" t="s">
        <v>39</v>
      </c>
      <c r="F33" s="15" t="n">
        <v>22</v>
      </c>
      <c r="G33" s="19" t="s">
        <v>64</v>
      </c>
      <c r="H33" s="18" t="s">
        <v>69</v>
      </c>
      <c r="I33" s="18" t="s">
        <v>70</v>
      </c>
      <c r="J33" s="20"/>
      <c r="K33" s="15"/>
      <c r="L33" s="21"/>
      <c r="M33" s="8"/>
      <c r="N33" s="8"/>
      <c r="O33" s="8"/>
      <c r="P33" s="8"/>
      <c r="Q33" s="8"/>
      <c r="R33" s="8"/>
      <c r="S33" s="8"/>
      <c r="T33" s="8"/>
      <c r="U33" s="8"/>
    </row>
    <row r="34" customFormat="false" ht="29.25" hidden="false" customHeight="true" outlineLevel="0" collapsed="false">
      <c r="A34" s="11" t="n">
        <v>6</v>
      </c>
      <c r="B34" s="12" t="n">
        <v>46335</v>
      </c>
      <c r="C34" s="13" t="s">
        <v>43</v>
      </c>
      <c r="D34" s="14" t="s">
        <v>60</v>
      </c>
      <c r="E34" s="13" t="s">
        <v>35</v>
      </c>
      <c r="F34" s="11" t="n">
        <v>0</v>
      </c>
      <c r="G34" s="14"/>
      <c r="H34" s="14" t="s">
        <v>35</v>
      </c>
      <c r="I34" s="14" t="s">
        <v>44</v>
      </c>
      <c r="J34" s="8"/>
      <c r="K34" s="11"/>
      <c r="L34" s="9"/>
      <c r="M34" s="8"/>
      <c r="N34" s="8"/>
      <c r="O34" s="8"/>
      <c r="P34" s="8"/>
      <c r="Q34" s="8"/>
      <c r="R34" s="8"/>
      <c r="S34" s="8"/>
      <c r="T34" s="8"/>
      <c r="U34" s="8"/>
    </row>
    <row r="35" customFormat="false" ht="15" hidden="false" customHeight="true" outlineLevel="0" collapsed="false">
      <c r="A35" s="3" t="n">
        <v>6</v>
      </c>
      <c r="B35" s="4" t="n">
        <v>46336</v>
      </c>
      <c r="C35" s="5" t="s">
        <v>45</v>
      </c>
      <c r="D35" s="6" t="s">
        <v>60</v>
      </c>
      <c r="E35" s="3" t="s">
        <v>71</v>
      </c>
      <c r="F35" s="3" t="n">
        <v>6</v>
      </c>
      <c r="G35" s="7" t="s">
        <v>72</v>
      </c>
      <c r="H35" s="6" t="s">
        <v>73</v>
      </c>
      <c r="I35" s="7"/>
      <c r="J35" s="8"/>
      <c r="K35" s="3"/>
      <c r="L35" s="9"/>
      <c r="M35" s="8"/>
      <c r="N35" s="8"/>
      <c r="O35" s="8"/>
      <c r="P35" s="8"/>
      <c r="Q35" s="8"/>
      <c r="R35" s="8"/>
      <c r="S35" s="8"/>
      <c r="T35" s="8"/>
      <c r="U35" s="8"/>
    </row>
    <row r="36" customFormat="false" ht="15" hidden="false" customHeight="true" outlineLevel="0" collapsed="false">
      <c r="A36" s="22" t="n">
        <v>6</v>
      </c>
      <c r="B36" s="23" t="n">
        <v>46337</v>
      </c>
      <c r="C36" s="24" t="s">
        <v>46</v>
      </c>
      <c r="D36" s="25" t="s">
        <v>60</v>
      </c>
      <c r="E36" s="22" t="s">
        <v>47</v>
      </c>
      <c r="F36" s="22" t="n">
        <v>9</v>
      </c>
      <c r="G36" s="26" t="s">
        <v>62</v>
      </c>
      <c r="H36" s="26" t="s">
        <v>74</v>
      </c>
      <c r="I36" s="25" t="s">
        <v>75</v>
      </c>
      <c r="J36" s="8"/>
      <c r="K36" s="22"/>
      <c r="L36" s="9"/>
      <c r="M36" s="8"/>
      <c r="N36" s="8"/>
      <c r="O36" s="8"/>
      <c r="P36" s="8"/>
      <c r="Q36" s="8"/>
      <c r="R36" s="8"/>
      <c r="S36" s="8"/>
      <c r="T36" s="8"/>
      <c r="U36" s="8"/>
    </row>
    <row r="37" customFormat="false" ht="29.25" hidden="false" customHeight="true" outlineLevel="0" collapsed="false">
      <c r="A37" s="11" t="n">
        <v>6</v>
      </c>
      <c r="B37" s="12" t="n">
        <v>46338</v>
      </c>
      <c r="C37" s="13" t="s">
        <v>21</v>
      </c>
      <c r="D37" s="14" t="s">
        <v>60</v>
      </c>
      <c r="E37" s="13" t="s">
        <v>35</v>
      </c>
      <c r="F37" s="11" t="n">
        <v>0</v>
      </c>
      <c r="G37" s="14"/>
      <c r="H37" s="14" t="s">
        <v>35</v>
      </c>
      <c r="I37" s="14" t="s">
        <v>44</v>
      </c>
      <c r="J37" s="8"/>
      <c r="K37" s="11"/>
      <c r="L37" s="9"/>
      <c r="M37" s="8"/>
      <c r="N37" s="8"/>
      <c r="O37" s="8"/>
      <c r="P37" s="8"/>
      <c r="Q37" s="8"/>
      <c r="R37" s="8"/>
      <c r="S37" s="8"/>
      <c r="T37" s="8"/>
      <c r="U37" s="8"/>
    </row>
    <row r="38" customFormat="false" ht="15" hidden="false" customHeight="true" outlineLevel="0" collapsed="false">
      <c r="A38" s="3" t="n">
        <v>6</v>
      </c>
      <c r="B38" s="4" t="n">
        <v>46339</v>
      </c>
      <c r="C38" s="5" t="s">
        <v>34</v>
      </c>
      <c r="D38" s="6" t="s">
        <v>60</v>
      </c>
      <c r="E38" s="3" t="s">
        <v>23</v>
      </c>
      <c r="F38" s="3" t="n">
        <v>6</v>
      </c>
      <c r="G38" s="7" t="s">
        <v>24</v>
      </c>
      <c r="H38" s="6" t="s">
        <v>25</v>
      </c>
      <c r="I38" s="7"/>
      <c r="J38" s="8"/>
      <c r="K38" s="3"/>
      <c r="L38" s="9"/>
      <c r="M38" s="8"/>
      <c r="N38" s="8"/>
      <c r="O38" s="8"/>
      <c r="P38" s="8"/>
      <c r="Q38" s="8"/>
      <c r="R38" s="8"/>
      <c r="S38" s="8"/>
      <c r="T38" s="8"/>
      <c r="U38" s="8"/>
    </row>
    <row r="39" customFormat="false" ht="15" hidden="false" customHeight="true" outlineLevel="0" collapsed="false">
      <c r="A39" s="11" t="n">
        <v>6</v>
      </c>
      <c r="B39" s="12" t="n">
        <v>46340</v>
      </c>
      <c r="C39" s="13" t="s">
        <v>36</v>
      </c>
      <c r="D39" s="14" t="s">
        <v>60</v>
      </c>
      <c r="E39" s="13" t="s">
        <v>35</v>
      </c>
      <c r="F39" s="11" t="n">
        <v>0</v>
      </c>
      <c r="G39" s="14"/>
      <c r="H39" s="14" t="s">
        <v>35</v>
      </c>
      <c r="I39" s="14"/>
      <c r="J39" s="8"/>
      <c r="K39" s="11"/>
      <c r="L39" s="9"/>
      <c r="M39" s="8"/>
      <c r="N39" s="8"/>
      <c r="O39" s="8"/>
      <c r="P39" s="8"/>
      <c r="Q39" s="8"/>
      <c r="R39" s="8"/>
      <c r="S39" s="8"/>
      <c r="T39" s="8"/>
      <c r="U39" s="8"/>
    </row>
    <row r="40" customFormat="false" ht="15" hidden="false" customHeight="true" outlineLevel="0" collapsed="false">
      <c r="A40" s="15" t="n">
        <v>6</v>
      </c>
      <c r="B40" s="16" t="n">
        <v>46341</v>
      </c>
      <c r="C40" s="17" t="s">
        <v>38</v>
      </c>
      <c r="D40" s="18" t="s">
        <v>60</v>
      </c>
      <c r="E40" s="15" t="s">
        <v>39</v>
      </c>
      <c r="F40" s="15" t="n">
        <v>26</v>
      </c>
      <c r="G40" s="19" t="s">
        <v>64</v>
      </c>
      <c r="H40" s="18" t="s">
        <v>76</v>
      </c>
      <c r="I40" s="18" t="s">
        <v>77</v>
      </c>
      <c r="J40" s="20"/>
      <c r="K40" s="15"/>
      <c r="L40" s="21"/>
      <c r="M40" s="8"/>
      <c r="N40" s="8"/>
      <c r="O40" s="8"/>
      <c r="P40" s="8"/>
      <c r="Q40" s="8"/>
      <c r="R40" s="8"/>
      <c r="S40" s="8"/>
      <c r="T40" s="8"/>
      <c r="U40" s="8"/>
    </row>
    <row r="41" customFormat="false" ht="29.25" hidden="false" customHeight="true" outlineLevel="0" collapsed="false">
      <c r="A41" s="11" t="n">
        <v>7</v>
      </c>
      <c r="B41" s="12" t="n">
        <v>46342</v>
      </c>
      <c r="C41" s="13" t="s">
        <v>43</v>
      </c>
      <c r="D41" s="14" t="s">
        <v>78</v>
      </c>
      <c r="E41" s="13" t="s">
        <v>35</v>
      </c>
      <c r="F41" s="11" t="n">
        <v>0</v>
      </c>
      <c r="G41" s="14"/>
      <c r="H41" s="14" t="s">
        <v>35</v>
      </c>
      <c r="I41" s="14" t="s">
        <v>44</v>
      </c>
      <c r="J41" s="8"/>
      <c r="K41" s="11"/>
      <c r="L41" s="9"/>
      <c r="M41" s="8"/>
      <c r="N41" s="8"/>
      <c r="O41" s="8"/>
      <c r="P41" s="8"/>
      <c r="Q41" s="8"/>
      <c r="R41" s="8"/>
      <c r="S41" s="8"/>
      <c r="T41" s="8"/>
      <c r="U41" s="8"/>
    </row>
    <row r="42" customFormat="false" ht="15" hidden="false" customHeight="true" outlineLevel="0" collapsed="false">
      <c r="A42" s="3" t="n">
        <v>7</v>
      </c>
      <c r="B42" s="4" t="n">
        <v>46343</v>
      </c>
      <c r="C42" s="5" t="s">
        <v>45</v>
      </c>
      <c r="D42" s="6" t="s">
        <v>78</v>
      </c>
      <c r="E42" s="3" t="s">
        <v>23</v>
      </c>
      <c r="F42" s="3" t="n">
        <v>7</v>
      </c>
      <c r="G42" s="7" t="s">
        <v>24</v>
      </c>
      <c r="H42" s="6" t="s">
        <v>61</v>
      </c>
      <c r="I42" s="7"/>
      <c r="J42" s="8"/>
      <c r="K42" s="3"/>
      <c r="L42" s="9"/>
      <c r="M42" s="8"/>
      <c r="N42" s="8"/>
      <c r="O42" s="8"/>
      <c r="P42" s="8"/>
      <c r="Q42" s="8"/>
      <c r="R42" s="8"/>
      <c r="S42" s="8"/>
      <c r="T42" s="8"/>
      <c r="U42" s="8"/>
    </row>
    <row r="43" customFormat="false" ht="15" hidden="false" customHeight="true" outlineLevel="0" collapsed="false">
      <c r="A43" s="22" t="n">
        <v>7</v>
      </c>
      <c r="B43" s="23" t="n">
        <v>46344</v>
      </c>
      <c r="C43" s="24" t="s">
        <v>46</v>
      </c>
      <c r="D43" s="25" t="s">
        <v>78</v>
      </c>
      <c r="E43" s="24" t="s">
        <v>79</v>
      </c>
      <c r="F43" s="22" t="n">
        <v>10</v>
      </c>
      <c r="G43" s="25" t="s">
        <v>80</v>
      </c>
      <c r="H43" s="26" t="s">
        <v>81</v>
      </c>
      <c r="I43" s="25" t="s">
        <v>82</v>
      </c>
      <c r="J43" s="8"/>
      <c r="K43" s="22"/>
      <c r="L43" s="9"/>
      <c r="M43" s="8"/>
      <c r="N43" s="8"/>
      <c r="O43" s="8"/>
      <c r="P43" s="8"/>
      <c r="Q43" s="8"/>
      <c r="R43" s="8"/>
      <c r="S43" s="8"/>
      <c r="T43" s="8"/>
      <c r="U43" s="8"/>
    </row>
    <row r="44" customFormat="false" ht="29.25" hidden="false" customHeight="true" outlineLevel="0" collapsed="false">
      <c r="A44" s="11" t="n">
        <v>7</v>
      </c>
      <c r="B44" s="12" t="n">
        <v>46345</v>
      </c>
      <c r="C44" s="13" t="s">
        <v>21</v>
      </c>
      <c r="D44" s="14" t="s">
        <v>78</v>
      </c>
      <c r="E44" s="13" t="s">
        <v>35</v>
      </c>
      <c r="F44" s="11" t="n">
        <v>0</v>
      </c>
      <c r="G44" s="14"/>
      <c r="H44" s="14" t="s">
        <v>35</v>
      </c>
      <c r="I44" s="14" t="s">
        <v>44</v>
      </c>
      <c r="J44" s="8"/>
      <c r="K44" s="11"/>
      <c r="L44" s="9"/>
      <c r="M44" s="8"/>
      <c r="N44" s="8"/>
      <c r="O44" s="8"/>
      <c r="P44" s="8"/>
      <c r="Q44" s="8"/>
      <c r="R44" s="8"/>
      <c r="S44" s="8"/>
      <c r="T44" s="8"/>
      <c r="U44" s="8"/>
    </row>
    <row r="45" customFormat="false" ht="15" hidden="false" customHeight="true" outlineLevel="0" collapsed="false">
      <c r="A45" s="3" t="n">
        <v>7</v>
      </c>
      <c r="B45" s="4" t="n">
        <v>46346</v>
      </c>
      <c r="C45" s="5" t="s">
        <v>34</v>
      </c>
      <c r="D45" s="6" t="s">
        <v>78</v>
      </c>
      <c r="E45" s="3" t="s">
        <v>23</v>
      </c>
      <c r="F45" s="3" t="n">
        <v>6</v>
      </c>
      <c r="G45" s="7" t="s">
        <v>24</v>
      </c>
      <c r="H45" s="6" t="s">
        <v>25</v>
      </c>
      <c r="I45" s="7"/>
      <c r="J45" s="8"/>
      <c r="K45" s="3"/>
      <c r="L45" s="9"/>
      <c r="M45" s="8"/>
      <c r="N45" s="8"/>
      <c r="O45" s="8"/>
      <c r="P45" s="8"/>
      <c r="Q45" s="8"/>
      <c r="R45" s="8"/>
      <c r="S45" s="8"/>
      <c r="T45" s="8"/>
      <c r="U45" s="8"/>
    </row>
    <row r="46" customFormat="false" ht="15" hidden="false" customHeight="true" outlineLevel="0" collapsed="false">
      <c r="A46" s="11" t="n">
        <v>7</v>
      </c>
      <c r="B46" s="12" t="n">
        <v>46347</v>
      </c>
      <c r="C46" s="13" t="s">
        <v>36</v>
      </c>
      <c r="D46" s="14" t="s">
        <v>78</v>
      </c>
      <c r="E46" s="13" t="s">
        <v>35</v>
      </c>
      <c r="F46" s="11" t="n">
        <v>0</v>
      </c>
      <c r="G46" s="14"/>
      <c r="H46" s="14" t="s">
        <v>35</v>
      </c>
      <c r="I46" s="14"/>
      <c r="J46" s="8"/>
      <c r="K46" s="11"/>
      <c r="L46" s="9"/>
      <c r="M46" s="8"/>
      <c r="N46" s="8"/>
      <c r="O46" s="8"/>
      <c r="P46" s="8"/>
      <c r="Q46" s="8"/>
      <c r="R46" s="8"/>
      <c r="S46" s="8"/>
      <c r="T46" s="8"/>
      <c r="U46" s="8"/>
    </row>
    <row r="47" customFormat="false" ht="43.5" hidden="false" customHeight="true" outlineLevel="0" collapsed="false">
      <c r="A47" s="27" t="n">
        <v>7</v>
      </c>
      <c r="B47" s="28" t="n">
        <v>46348</v>
      </c>
      <c r="C47" s="29" t="s">
        <v>38</v>
      </c>
      <c r="D47" s="30" t="s">
        <v>78</v>
      </c>
      <c r="E47" s="27" t="s">
        <v>83</v>
      </c>
      <c r="F47" s="27" t="n">
        <v>30</v>
      </c>
      <c r="G47" s="30" t="s">
        <v>84</v>
      </c>
      <c r="H47" s="30" t="s">
        <v>85</v>
      </c>
      <c r="I47" s="30" t="s">
        <v>86</v>
      </c>
      <c r="J47" s="20"/>
      <c r="K47" s="27"/>
      <c r="L47" s="21"/>
      <c r="M47" s="8"/>
      <c r="N47" s="8"/>
      <c r="O47" s="8"/>
      <c r="P47" s="8"/>
      <c r="Q47" s="8"/>
      <c r="R47" s="8"/>
      <c r="S47" s="8"/>
      <c r="T47" s="8"/>
      <c r="U47" s="8"/>
    </row>
    <row r="48" customFormat="false" ht="15" hidden="false" customHeight="true" outlineLevel="0" collapsed="false">
      <c r="A48" s="11" t="n">
        <v>8</v>
      </c>
      <c r="B48" s="12" t="n">
        <v>46349</v>
      </c>
      <c r="C48" s="13" t="s">
        <v>43</v>
      </c>
      <c r="D48" s="14" t="s">
        <v>78</v>
      </c>
      <c r="E48" s="13" t="s">
        <v>87</v>
      </c>
      <c r="F48" s="11" t="n">
        <v>0</v>
      </c>
      <c r="G48" s="14"/>
      <c r="H48" s="14" t="s">
        <v>88</v>
      </c>
      <c r="I48" s="14" t="s">
        <v>89</v>
      </c>
      <c r="J48" s="8"/>
      <c r="K48" s="11"/>
      <c r="L48" s="9"/>
      <c r="M48" s="8"/>
      <c r="N48" s="8"/>
      <c r="O48" s="8"/>
      <c r="P48" s="8"/>
      <c r="Q48" s="8"/>
      <c r="R48" s="8"/>
      <c r="S48" s="8"/>
      <c r="T48" s="8"/>
      <c r="U48" s="8"/>
    </row>
    <row r="49" customFormat="false" ht="15" hidden="false" customHeight="true" outlineLevel="0" collapsed="false">
      <c r="A49" s="3" t="n">
        <v>8</v>
      </c>
      <c r="B49" s="4" t="n">
        <v>46350</v>
      </c>
      <c r="C49" s="5" t="s">
        <v>45</v>
      </c>
      <c r="D49" s="6" t="s">
        <v>78</v>
      </c>
      <c r="E49" s="3" t="s">
        <v>71</v>
      </c>
      <c r="F49" s="3" t="n">
        <v>5</v>
      </c>
      <c r="G49" s="7" t="s">
        <v>72</v>
      </c>
      <c r="H49" s="6" t="s">
        <v>90</v>
      </c>
      <c r="I49" s="7"/>
      <c r="J49" s="8"/>
      <c r="K49" s="3"/>
      <c r="L49" s="9"/>
      <c r="M49" s="8"/>
      <c r="N49" s="8"/>
      <c r="O49" s="8"/>
      <c r="P49" s="8"/>
      <c r="Q49" s="8"/>
      <c r="R49" s="8"/>
      <c r="S49" s="8"/>
      <c r="T49" s="8"/>
      <c r="U49" s="8"/>
    </row>
    <row r="50" customFormat="false" ht="15" hidden="false" customHeight="true" outlineLevel="0" collapsed="false">
      <c r="A50" s="3" t="n">
        <v>8</v>
      </c>
      <c r="B50" s="4" t="n">
        <v>46351</v>
      </c>
      <c r="C50" s="5" t="s">
        <v>46</v>
      </c>
      <c r="D50" s="6" t="s">
        <v>78</v>
      </c>
      <c r="E50" s="3" t="s">
        <v>23</v>
      </c>
      <c r="F50" s="3" t="n">
        <v>7</v>
      </c>
      <c r="G50" s="7" t="s">
        <v>24</v>
      </c>
      <c r="H50" s="6" t="s">
        <v>61</v>
      </c>
      <c r="I50" s="7"/>
      <c r="J50" s="8"/>
      <c r="K50" s="3"/>
      <c r="L50" s="9"/>
      <c r="M50" s="8"/>
      <c r="N50" s="8"/>
      <c r="O50" s="8"/>
      <c r="P50" s="8"/>
      <c r="Q50" s="8"/>
      <c r="R50" s="8"/>
      <c r="S50" s="8"/>
      <c r="T50" s="8"/>
      <c r="U50" s="8"/>
    </row>
    <row r="51" customFormat="false" ht="29.25" hidden="false" customHeight="true" outlineLevel="0" collapsed="false">
      <c r="A51" s="11" t="n">
        <v>8</v>
      </c>
      <c r="B51" s="12" t="n">
        <v>46352</v>
      </c>
      <c r="C51" s="13" t="s">
        <v>21</v>
      </c>
      <c r="D51" s="14" t="s">
        <v>78</v>
      </c>
      <c r="E51" s="13" t="s">
        <v>35</v>
      </c>
      <c r="F51" s="11" t="n">
        <v>0</v>
      </c>
      <c r="G51" s="14"/>
      <c r="H51" s="14" t="s">
        <v>35</v>
      </c>
      <c r="I51" s="14" t="s">
        <v>44</v>
      </c>
      <c r="J51" s="8"/>
      <c r="K51" s="11"/>
      <c r="L51" s="9"/>
      <c r="M51" s="8"/>
      <c r="N51" s="8"/>
      <c r="O51" s="8"/>
      <c r="P51" s="8"/>
      <c r="Q51" s="8"/>
      <c r="R51" s="8"/>
      <c r="S51" s="8"/>
      <c r="T51" s="8"/>
      <c r="U51" s="8"/>
    </row>
    <row r="52" customFormat="false" ht="15" hidden="false" customHeight="true" outlineLevel="0" collapsed="false">
      <c r="A52" s="3" t="n">
        <v>8</v>
      </c>
      <c r="B52" s="4" t="n">
        <v>46353</v>
      </c>
      <c r="C52" s="5" t="s">
        <v>34</v>
      </c>
      <c r="D52" s="6" t="s">
        <v>78</v>
      </c>
      <c r="E52" s="3" t="s">
        <v>23</v>
      </c>
      <c r="F52" s="3" t="n">
        <v>5</v>
      </c>
      <c r="G52" s="7" t="s">
        <v>24</v>
      </c>
      <c r="H52" s="6" t="s">
        <v>37</v>
      </c>
      <c r="I52" s="7"/>
      <c r="J52" s="8"/>
      <c r="K52" s="3"/>
      <c r="L52" s="9"/>
      <c r="M52" s="8"/>
      <c r="N52" s="8"/>
      <c r="O52" s="8"/>
      <c r="P52" s="8"/>
      <c r="Q52" s="8"/>
      <c r="R52" s="8"/>
      <c r="S52" s="8"/>
      <c r="T52" s="8"/>
      <c r="U52" s="8"/>
    </row>
    <row r="53" customFormat="false" ht="15" hidden="false" customHeight="true" outlineLevel="0" collapsed="false">
      <c r="A53" s="11" t="n">
        <v>8</v>
      </c>
      <c r="B53" s="12" t="n">
        <v>46354</v>
      </c>
      <c r="C53" s="13" t="s">
        <v>36</v>
      </c>
      <c r="D53" s="14" t="s">
        <v>78</v>
      </c>
      <c r="E53" s="13" t="s">
        <v>35</v>
      </c>
      <c r="F53" s="11" t="n">
        <v>0</v>
      </c>
      <c r="G53" s="14"/>
      <c r="H53" s="14" t="s">
        <v>35</v>
      </c>
      <c r="I53" s="14"/>
      <c r="J53" s="8"/>
      <c r="K53" s="11"/>
      <c r="L53" s="9"/>
      <c r="M53" s="8"/>
      <c r="N53" s="8"/>
      <c r="O53" s="8"/>
      <c r="P53" s="8"/>
      <c r="Q53" s="8"/>
      <c r="R53" s="8"/>
      <c r="S53" s="8"/>
      <c r="T53" s="8"/>
      <c r="U53" s="8"/>
    </row>
    <row r="54" customFormat="false" ht="26.25" hidden="false" customHeight="true" outlineLevel="0" collapsed="false">
      <c r="A54" s="15" t="n">
        <v>8</v>
      </c>
      <c r="B54" s="16" t="n">
        <v>46355</v>
      </c>
      <c r="C54" s="17" t="s">
        <v>38</v>
      </c>
      <c r="D54" s="18" t="s">
        <v>78</v>
      </c>
      <c r="E54" s="15" t="s">
        <v>39</v>
      </c>
      <c r="F54" s="15" t="n">
        <v>20</v>
      </c>
      <c r="G54" s="18" t="s">
        <v>91</v>
      </c>
      <c r="H54" s="18" t="s">
        <v>92</v>
      </c>
      <c r="I54" s="18" t="s">
        <v>93</v>
      </c>
      <c r="J54" s="20"/>
      <c r="K54" s="15"/>
      <c r="L54" s="21"/>
      <c r="M54" s="8"/>
      <c r="N54" s="8"/>
      <c r="O54" s="8"/>
      <c r="P54" s="8"/>
      <c r="Q54" s="8"/>
      <c r="R54" s="8"/>
      <c r="S54" s="8"/>
      <c r="T54" s="8"/>
      <c r="U54" s="8"/>
    </row>
    <row r="55" customFormat="false" ht="29.25" hidden="false" customHeight="true" outlineLevel="0" collapsed="false">
      <c r="A55" s="11" t="n">
        <v>9</v>
      </c>
      <c r="B55" s="12" t="n">
        <v>46356</v>
      </c>
      <c r="C55" s="13" t="s">
        <v>43</v>
      </c>
      <c r="D55" s="14" t="s">
        <v>94</v>
      </c>
      <c r="E55" s="13" t="s">
        <v>35</v>
      </c>
      <c r="F55" s="11" t="n">
        <v>0</v>
      </c>
      <c r="G55" s="14"/>
      <c r="H55" s="14" t="s">
        <v>35</v>
      </c>
      <c r="I55" s="14" t="s">
        <v>44</v>
      </c>
      <c r="J55" s="8"/>
      <c r="K55" s="11"/>
      <c r="L55" s="9"/>
      <c r="M55" s="8"/>
      <c r="N55" s="8"/>
      <c r="O55" s="8"/>
      <c r="P55" s="8"/>
      <c r="Q55" s="8"/>
      <c r="R55" s="8"/>
      <c r="S55" s="8"/>
      <c r="T55" s="8"/>
      <c r="U55" s="8"/>
    </row>
    <row r="56" customFormat="false" ht="15" hidden="false" customHeight="true" outlineLevel="0" collapsed="false">
      <c r="A56" s="3" t="n">
        <v>9</v>
      </c>
      <c r="B56" s="4" t="n">
        <v>46357</v>
      </c>
      <c r="C56" s="5" t="s">
        <v>45</v>
      </c>
      <c r="D56" s="6" t="s">
        <v>94</v>
      </c>
      <c r="E56" s="3" t="s">
        <v>23</v>
      </c>
      <c r="F56" s="3" t="n">
        <v>6</v>
      </c>
      <c r="G56" s="7" t="s">
        <v>24</v>
      </c>
      <c r="H56" s="6" t="s">
        <v>25</v>
      </c>
      <c r="I56" s="7"/>
      <c r="J56" s="8"/>
      <c r="K56" s="3"/>
      <c r="L56" s="9"/>
      <c r="M56" s="8"/>
      <c r="N56" s="8"/>
      <c r="O56" s="8"/>
      <c r="P56" s="8"/>
      <c r="Q56" s="8"/>
      <c r="R56" s="8"/>
      <c r="S56" s="8"/>
      <c r="T56" s="8"/>
      <c r="U56" s="8"/>
    </row>
    <row r="57" customFormat="false" ht="15" hidden="false" customHeight="true" outlineLevel="0" collapsed="false">
      <c r="A57" s="22" t="n">
        <v>9</v>
      </c>
      <c r="B57" s="23" t="n">
        <v>46358</v>
      </c>
      <c r="C57" s="24" t="s">
        <v>46</v>
      </c>
      <c r="D57" s="25" t="s">
        <v>94</v>
      </c>
      <c r="E57" s="22" t="s">
        <v>47</v>
      </c>
      <c r="F57" s="22" t="n">
        <v>8</v>
      </c>
      <c r="G57" s="26" t="s">
        <v>62</v>
      </c>
      <c r="H57" s="26" t="s">
        <v>95</v>
      </c>
      <c r="I57" s="25" t="s">
        <v>96</v>
      </c>
      <c r="J57" s="8"/>
      <c r="K57" s="22"/>
      <c r="L57" s="9"/>
      <c r="M57" s="8"/>
      <c r="N57" s="8"/>
      <c r="O57" s="8"/>
      <c r="P57" s="8"/>
      <c r="Q57" s="8"/>
      <c r="R57" s="8"/>
      <c r="S57" s="8"/>
      <c r="T57" s="8"/>
      <c r="U57" s="8"/>
    </row>
    <row r="58" customFormat="false" ht="15" hidden="false" customHeight="true" outlineLevel="0" collapsed="false">
      <c r="A58" s="11" t="n">
        <v>9</v>
      </c>
      <c r="B58" s="12" t="n">
        <v>46359</v>
      </c>
      <c r="C58" s="13" t="s">
        <v>21</v>
      </c>
      <c r="D58" s="14" t="s">
        <v>94</v>
      </c>
      <c r="E58" s="13" t="s">
        <v>35</v>
      </c>
      <c r="F58" s="11" t="n">
        <v>0</v>
      </c>
      <c r="G58" s="14"/>
      <c r="H58" s="14" t="s">
        <v>35</v>
      </c>
      <c r="I58" s="14"/>
      <c r="J58" s="8"/>
      <c r="K58" s="11"/>
      <c r="L58" s="9"/>
      <c r="M58" s="8"/>
      <c r="N58" s="8"/>
      <c r="O58" s="8"/>
      <c r="P58" s="8"/>
      <c r="Q58" s="8"/>
      <c r="R58" s="8"/>
      <c r="S58" s="8"/>
      <c r="T58" s="8"/>
      <c r="U58" s="8"/>
    </row>
    <row r="59" customFormat="false" ht="15" hidden="false" customHeight="true" outlineLevel="0" collapsed="false">
      <c r="A59" s="3" t="n">
        <v>9</v>
      </c>
      <c r="B59" s="4" t="n">
        <v>46360</v>
      </c>
      <c r="C59" s="5" t="s">
        <v>34</v>
      </c>
      <c r="D59" s="6" t="s">
        <v>94</v>
      </c>
      <c r="E59" s="3" t="s">
        <v>23</v>
      </c>
      <c r="F59" s="3" t="n">
        <v>5</v>
      </c>
      <c r="G59" s="7" t="s">
        <v>24</v>
      </c>
      <c r="H59" s="6" t="s">
        <v>37</v>
      </c>
      <c r="I59" s="7"/>
      <c r="J59" s="8"/>
      <c r="K59" s="3"/>
      <c r="L59" s="9"/>
      <c r="M59" s="8"/>
      <c r="N59" s="8"/>
      <c r="O59" s="8"/>
      <c r="P59" s="8"/>
      <c r="Q59" s="8"/>
      <c r="R59" s="8"/>
      <c r="S59" s="8"/>
      <c r="T59" s="8"/>
      <c r="U59" s="8"/>
    </row>
    <row r="60" customFormat="false" ht="15" hidden="false" customHeight="true" outlineLevel="0" collapsed="false">
      <c r="A60" s="11" t="n">
        <v>9</v>
      </c>
      <c r="B60" s="12" t="n">
        <v>46361</v>
      </c>
      <c r="C60" s="13" t="s">
        <v>36</v>
      </c>
      <c r="D60" s="14" t="s">
        <v>94</v>
      </c>
      <c r="E60" s="13" t="s">
        <v>35</v>
      </c>
      <c r="F60" s="11" t="n">
        <v>0</v>
      </c>
      <c r="G60" s="14"/>
      <c r="H60" s="14" t="s">
        <v>35</v>
      </c>
      <c r="I60" s="14"/>
      <c r="J60" s="8"/>
      <c r="K60" s="11"/>
      <c r="L60" s="9"/>
      <c r="M60" s="8"/>
      <c r="N60" s="8"/>
      <c r="O60" s="8"/>
      <c r="P60" s="8"/>
      <c r="Q60" s="8"/>
      <c r="R60" s="8"/>
      <c r="S60" s="8"/>
      <c r="T60" s="8"/>
      <c r="U60" s="8"/>
    </row>
    <row r="61" customFormat="false" ht="15" hidden="false" customHeight="true" outlineLevel="0" collapsed="false">
      <c r="A61" s="15" t="n">
        <v>9</v>
      </c>
      <c r="B61" s="16" t="n">
        <v>46362</v>
      </c>
      <c r="C61" s="17" t="s">
        <v>38</v>
      </c>
      <c r="D61" s="18" t="s">
        <v>94</v>
      </c>
      <c r="E61" s="15" t="s">
        <v>39</v>
      </c>
      <c r="F61" s="15" t="n">
        <v>14</v>
      </c>
      <c r="G61" s="19" t="s">
        <v>64</v>
      </c>
      <c r="H61" s="18" t="s">
        <v>52</v>
      </c>
      <c r="I61" s="18" t="s">
        <v>97</v>
      </c>
      <c r="J61" s="20"/>
      <c r="K61" s="15"/>
      <c r="L61" s="21"/>
      <c r="M61" s="8"/>
      <c r="N61" s="8"/>
      <c r="O61" s="8"/>
      <c r="P61" s="8"/>
      <c r="Q61" s="8"/>
      <c r="R61" s="8"/>
      <c r="S61" s="8"/>
      <c r="T61" s="8"/>
      <c r="U61" s="8"/>
    </row>
    <row r="62" customFormat="false" ht="15" hidden="false" customHeight="true" outlineLevel="0" collapsed="false">
      <c r="A62" s="11" t="n">
        <v>10</v>
      </c>
      <c r="B62" s="12" t="n">
        <v>46363</v>
      </c>
      <c r="C62" s="13" t="s">
        <v>43</v>
      </c>
      <c r="D62" s="14" t="s">
        <v>94</v>
      </c>
      <c r="E62" s="13" t="s">
        <v>35</v>
      </c>
      <c r="F62" s="11" t="n">
        <v>0</v>
      </c>
      <c r="G62" s="14"/>
      <c r="H62" s="14" t="s">
        <v>35</v>
      </c>
      <c r="I62" s="14"/>
      <c r="J62" s="8"/>
      <c r="K62" s="11"/>
      <c r="L62" s="9"/>
      <c r="M62" s="8"/>
      <c r="N62" s="8"/>
      <c r="O62" s="8"/>
      <c r="P62" s="8"/>
      <c r="Q62" s="8"/>
      <c r="R62" s="8"/>
      <c r="S62" s="8"/>
      <c r="T62" s="8"/>
      <c r="U62" s="8"/>
    </row>
    <row r="63" customFormat="false" ht="15" hidden="false" customHeight="true" outlineLevel="0" collapsed="false">
      <c r="A63" s="3" t="n">
        <v>10</v>
      </c>
      <c r="B63" s="4" t="n">
        <v>46364</v>
      </c>
      <c r="C63" s="5" t="s">
        <v>45</v>
      </c>
      <c r="D63" s="6" t="s">
        <v>94</v>
      </c>
      <c r="E63" s="3" t="s">
        <v>23</v>
      </c>
      <c r="F63" s="3" t="n">
        <v>5</v>
      </c>
      <c r="G63" s="7" t="s">
        <v>24</v>
      </c>
      <c r="H63" s="6" t="s">
        <v>37</v>
      </c>
      <c r="I63" s="7"/>
      <c r="J63" s="8"/>
      <c r="K63" s="3"/>
      <c r="L63" s="9"/>
      <c r="M63" s="8"/>
      <c r="N63" s="8"/>
      <c r="O63" s="8"/>
      <c r="P63" s="8"/>
      <c r="Q63" s="8"/>
      <c r="R63" s="8"/>
      <c r="S63" s="8"/>
      <c r="T63" s="8"/>
      <c r="U63" s="8"/>
    </row>
    <row r="64" customFormat="false" ht="15" hidden="false" customHeight="true" outlineLevel="0" collapsed="false">
      <c r="A64" s="22" t="n">
        <v>10</v>
      </c>
      <c r="B64" s="23" t="n">
        <v>46365</v>
      </c>
      <c r="C64" s="24" t="s">
        <v>46</v>
      </c>
      <c r="D64" s="25" t="s">
        <v>94</v>
      </c>
      <c r="E64" s="22" t="s">
        <v>47</v>
      </c>
      <c r="F64" s="22" t="n">
        <v>6</v>
      </c>
      <c r="G64" s="26" t="s">
        <v>62</v>
      </c>
      <c r="H64" s="26" t="s">
        <v>98</v>
      </c>
      <c r="I64" s="26"/>
      <c r="J64" s="8"/>
      <c r="K64" s="22"/>
      <c r="L64" s="9"/>
      <c r="M64" s="8"/>
      <c r="N64" s="8"/>
      <c r="O64" s="8"/>
      <c r="P64" s="8"/>
      <c r="Q64" s="8"/>
      <c r="R64" s="8"/>
      <c r="S64" s="8"/>
      <c r="T64" s="8"/>
      <c r="U64" s="8"/>
    </row>
    <row r="65" customFormat="false" ht="15" hidden="false" customHeight="true" outlineLevel="0" collapsed="false">
      <c r="A65" s="11" t="n">
        <v>10</v>
      </c>
      <c r="B65" s="12" t="n">
        <v>46366</v>
      </c>
      <c r="C65" s="13" t="s">
        <v>21</v>
      </c>
      <c r="D65" s="14" t="s">
        <v>94</v>
      </c>
      <c r="E65" s="13" t="s">
        <v>35</v>
      </c>
      <c r="F65" s="11" t="n">
        <v>0</v>
      </c>
      <c r="G65" s="14"/>
      <c r="H65" s="14" t="s">
        <v>35</v>
      </c>
      <c r="I65" s="14"/>
      <c r="J65" s="8"/>
      <c r="K65" s="11"/>
      <c r="L65" s="9"/>
      <c r="M65" s="8"/>
      <c r="N65" s="8"/>
      <c r="O65" s="8"/>
      <c r="P65" s="8"/>
      <c r="Q65" s="8"/>
      <c r="R65" s="8"/>
      <c r="S65" s="8"/>
      <c r="T65" s="8"/>
      <c r="U65" s="8"/>
    </row>
    <row r="66" customFormat="false" ht="15" hidden="false" customHeight="true" outlineLevel="0" collapsed="false">
      <c r="A66" s="22" t="n">
        <v>10</v>
      </c>
      <c r="B66" s="23" t="n">
        <v>46367</v>
      </c>
      <c r="C66" s="24" t="s">
        <v>34</v>
      </c>
      <c r="D66" s="25" t="s">
        <v>94</v>
      </c>
      <c r="E66" s="24" t="s">
        <v>99</v>
      </c>
      <c r="F66" s="22" t="n">
        <v>4</v>
      </c>
      <c r="G66" s="26" t="s">
        <v>24</v>
      </c>
      <c r="H66" s="25" t="s">
        <v>100</v>
      </c>
      <c r="I66" s="25" t="s">
        <v>101</v>
      </c>
      <c r="J66" s="8"/>
      <c r="K66" s="22"/>
      <c r="L66" s="9"/>
      <c r="M66" s="8"/>
      <c r="N66" s="8"/>
      <c r="O66" s="8"/>
      <c r="P66" s="8"/>
      <c r="Q66" s="8"/>
      <c r="R66" s="8"/>
      <c r="S66" s="8"/>
      <c r="T66" s="8"/>
      <c r="U66" s="8"/>
    </row>
    <row r="67" customFormat="false" ht="15" hidden="false" customHeight="true" outlineLevel="0" collapsed="false">
      <c r="A67" s="11" t="n">
        <v>10</v>
      </c>
      <c r="B67" s="12" t="n">
        <v>46368</v>
      </c>
      <c r="C67" s="13" t="s">
        <v>36</v>
      </c>
      <c r="D67" s="14" t="s">
        <v>94</v>
      </c>
      <c r="E67" s="13" t="s">
        <v>35</v>
      </c>
      <c r="F67" s="11" t="n">
        <v>0</v>
      </c>
      <c r="G67" s="14"/>
      <c r="H67" s="14" t="s">
        <v>35</v>
      </c>
      <c r="I67" s="14"/>
      <c r="J67" s="8"/>
      <c r="K67" s="11"/>
      <c r="L67" s="9"/>
      <c r="M67" s="8"/>
      <c r="N67" s="8"/>
      <c r="O67" s="8"/>
      <c r="P67" s="8"/>
      <c r="Q67" s="8"/>
      <c r="R67" s="8"/>
      <c r="S67" s="8"/>
      <c r="T67" s="8"/>
      <c r="U67" s="8"/>
    </row>
    <row r="68" customFormat="false" ht="15" hidden="false" customHeight="true" outlineLevel="0" collapsed="false">
      <c r="A68" s="11" t="n">
        <v>10</v>
      </c>
      <c r="B68" s="12" t="n">
        <v>46369</v>
      </c>
      <c r="C68" s="13" t="s">
        <v>38</v>
      </c>
      <c r="D68" s="14" t="s">
        <v>94</v>
      </c>
      <c r="E68" s="13" t="s">
        <v>87</v>
      </c>
      <c r="F68" s="11" t="n">
        <v>0</v>
      </c>
      <c r="G68" s="14"/>
      <c r="H68" s="14" t="s">
        <v>87</v>
      </c>
      <c r="I68" s="14" t="s">
        <v>102</v>
      </c>
      <c r="J68" s="8"/>
      <c r="K68" s="11"/>
      <c r="L68" s="9"/>
      <c r="M68" s="8"/>
      <c r="N68" s="8"/>
      <c r="O68" s="8"/>
      <c r="P68" s="8"/>
      <c r="Q68" s="8"/>
      <c r="R68" s="8"/>
      <c r="S68" s="8"/>
      <c r="T68" s="8"/>
      <c r="U68" s="8"/>
    </row>
    <row r="69" customFormat="false" ht="43.5" hidden="false" customHeight="true" outlineLevel="0" collapsed="false">
      <c r="A69" s="31" t="n">
        <v>11</v>
      </c>
      <c r="B69" s="32" t="n">
        <v>46370</v>
      </c>
      <c r="C69" s="33" t="s">
        <v>43</v>
      </c>
      <c r="D69" s="34" t="s">
        <v>103</v>
      </c>
      <c r="E69" s="33" t="s">
        <v>104</v>
      </c>
      <c r="F69" s="31" t="n">
        <v>42.195</v>
      </c>
      <c r="G69" s="34" t="s">
        <v>105</v>
      </c>
      <c r="H69" s="34" t="s">
        <v>106</v>
      </c>
      <c r="I69" s="34" t="s">
        <v>107</v>
      </c>
      <c r="J69" s="20"/>
      <c r="K69" s="31"/>
      <c r="L69" s="21"/>
      <c r="M69" s="8"/>
      <c r="N69" s="8"/>
      <c r="O69" s="8"/>
      <c r="P69" s="8"/>
      <c r="Q69" s="8"/>
      <c r="R69" s="8"/>
      <c r="S69" s="8"/>
      <c r="T69" s="8"/>
      <c r="U69" s="8"/>
    </row>
    <row r="71" customFormat="false" ht="15" hidden="false" customHeight="true" outlineLevel="0" collapsed="false">
      <c r="A71" s="35" t="s">
        <v>108</v>
      </c>
    </row>
    <row r="72" customFormat="false" ht="15" hidden="false" customHeight="true" outlineLevel="0" collapsed="false">
      <c r="A72" s="35" t="s">
        <v>109</v>
      </c>
    </row>
  </sheetData>
  <autoFilter ref="A1:U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7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34"/>
  </cols>
  <sheetData>
    <row r="1" customFormat="false" ht="29.25" hidden="false" customHeight="true" outlineLevel="0" collapsed="false">
      <c r="A1" s="2" t="s">
        <v>0</v>
      </c>
      <c r="B1" s="2" t="s">
        <v>110</v>
      </c>
      <c r="C1" s="2" t="s">
        <v>111</v>
      </c>
      <c r="D1" s="2" t="s">
        <v>3</v>
      </c>
      <c r="E1" s="2" t="s">
        <v>112</v>
      </c>
      <c r="F1" s="2" t="s">
        <v>113</v>
      </c>
      <c r="G1" s="2" t="s">
        <v>114</v>
      </c>
      <c r="H1" s="2" t="s">
        <v>115</v>
      </c>
      <c r="I1" s="2" t="s">
        <v>116</v>
      </c>
    </row>
    <row r="2" customFormat="false" ht="15" hidden="false" customHeight="true" outlineLevel="0" collapsed="false">
      <c r="A2" s="36" t="n">
        <v>1</v>
      </c>
      <c r="B2" s="37" t="n">
        <v>46303</v>
      </c>
      <c r="C2" s="37" t="n">
        <v>46306</v>
      </c>
      <c r="D2" s="38" t="s">
        <v>22</v>
      </c>
      <c r="E2" s="36" t="n">
        <f aca="false">SUM(課表!F2:F5)</f>
        <v>23</v>
      </c>
      <c r="F2" s="36" t="n">
        <f aca="false">MAX(課表!F2:F5)</f>
        <v>12</v>
      </c>
      <c r="G2" s="36" t="n">
        <f aca="false">SUM(課表!J2:J5)</f>
        <v>7.27</v>
      </c>
      <c r="H2" s="39" t="n">
        <f aca="false">IF(E2=0,"",G2/E2)</f>
        <v>0.316086956521739</v>
      </c>
      <c r="I2" s="38" t="s">
        <v>117</v>
      </c>
    </row>
    <row r="3" customFormat="false" ht="15" hidden="false" customHeight="true" outlineLevel="0" collapsed="false">
      <c r="A3" s="36" t="n">
        <v>2</v>
      </c>
      <c r="B3" s="37" t="n">
        <v>46307</v>
      </c>
      <c r="C3" s="37" t="n">
        <v>46313</v>
      </c>
      <c r="D3" s="38" t="s">
        <v>22</v>
      </c>
      <c r="E3" s="36" t="n">
        <f aca="false">SUM(課表!F6:F12)</f>
        <v>33</v>
      </c>
      <c r="F3" s="36" t="n">
        <f aca="false">MAX(課表!F6:F12)</f>
        <v>14</v>
      </c>
      <c r="G3" s="36" t="n">
        <f aca="false">SUM(課表!J6:J12)</f>
        <v>0</v>
      </c>
      <c r="H3" s="39" t="n">
        <f aca="false">IF(E3=0,"",G3/E3)</f>
        <v>0</v>
      </c>
      <c r="I3" s="38" t="s">
        <v>118</v>
      </c>
    </row>
    <row r="4" customFormat="false" ht="15" hidden="false" customHeight="true" outlineLevel="0" collapsed="false">
      <c r="A4" s="36" t="n">
        <v>3</v>
      </c>
      <c r="B4" s="37" t="n">
        <v>46314</v>
      </c>
      <c r="C4" s="37" t="n">
        <v>46320</v>
      </c>
      <c r="D4" s="38" t="s">
        <v>22</v>
      </c>
      <c r="E4" s="36" t="n">
        <f aca="false">SUM(課表!F13:F19)</f>
        <v>36</v>
      </c>
      <c r="F4" s="36" t="n">
        <f aca="false">MAX(課表!F13:F19)</f>
        <v>16</v>
      </c>
      <c r="G4" s="36" t="n">
        <f aca="false">SUM(課表!J13:J19)</f>
        <v>0</v>
      </c>
      <c r="H4" s="39" t="n">
        <f aca="false">IF(E4=0,"",G4/E4)</f>
        <v>0</v>
      </c>
      <c r="I4" s="38" t="s">
        <v>119</v>
      </c>
    </row>
    <row r="5" customFormat="false" ht="15" hidden="false" customHeight="true" outlineLevel="0" collapsed="false">
      <c r="A5" s="36" t="n">
        <v>4</v>
      </c>
      <c r="B5" s="37" t="n">
        <v>46321</v>
      </c>
      <c r="C5" s="37" t="n">
        <v>46327</v>
      </c>
      <c r="D5" s="38" t="s">
        <v>60</v>
      </c>
      <c r="E5" s="36" t="n">
        <f aca="false">SUM(課表!F20:F26)</f>
        <v>39</v>
      </c>
      <c r="F5" s="36" t="n">
        <f aca="false">MAX(課表!F20:F26)</f>
        <v>18</v>
      </c>
      <c r="G5" s="36" t="n">
        <f aca="false">SUM(課表!J20:J26)</f>
        <v>0</v>
      </c>
      <c r="H5" s="39" t="n">
        <f aca="false">IF(E5=0,"",G5/E5)</f>
        <v>0</v>
      </c>
      <c r="I5" s="38" t="s">
        <v>120</v>
      </c>
    </row>
    <row r="6" customFormat="false" ht="15" hidden="false" customHeight="true" outlineLevel="0" collapsed="false">
      <c r="A6" s="36" t="n">
        <v>5</v>
      </c>
      <c r="B6" s="37" t="n">
        <v>46328</v>
      </c>
      <c r="C6" s="37" t="n">
        <v>46334</v>
      </c>
      <c r="D6" s="38" t="s">
        <v>60</v>
      </c>
      <c r="E6" s="36" t="n">
        <f aca="false">SUM(課表!F27:F33)</f>
        <v>43</v>
      </c>
      <c r="F6" s="36" t="n">
        <f aca="false">MAX(課表!F27:F33)</f>
        <v>22</v>
      </c>
      <c r="G6" s="36" t="n">
        <f aca="false">SUM(課表!J27:J33)</f>
        <v>0</v>
      </c>
      <c r="H6" s="39" t="n">
        <f aca="false">IF(E6=0,"",G6/E6)</f>
        <v>0</v>
      </c>
      <c r="I6" s="38" t="s">
        <v>121</v>
      </c>
    </row>
    <row r="7" customFormat="false" ht="15" hidden="false" customHeight="true" outlineLevel="0" collapsed="false">
      <c r="A7" s="36" t="n">
        <v>6</v>
      </c>
      <c r="B7" s="37" t="n">
        <v>46335</v>
      </c>
      <c r="C7" s="37" t="n">
        <v>46341</v>
      </c>
      <c r="D7" s="38" t="s">
        <v>60</v>
      </c>
      <c r="E7" s="36" t="n">
        <f aca="false">SUM(課表!F34:F40)</f>
        <v>47</v>
      </c>
      <c r="F7" s="36" t="n">
        <f aca="false">MAX(課表!F34:F40)</f>
        <v>26</v>
      </c>
      <c r="G7" s="36" t="n">
        <f aca="false">SUM(課表!J34:J40)</f>
        <v>0</v>
      </c>
      <c r="H7" s="39" t="n">
        <f aca="false">IF(E7=0,"",G7/E7)</f>
        <v>0</v>
      </c>
      <c r="I7" s="38" t="s">
        <v>122</v>
      </c>
    </row>
    <row r="8" customFormat="false" ht="15" hidden="false" customHeight="true" outlineLevel="0" collapsed="false">
      <c r="A8" s="36" t="n">
        <v>7</v>
      </c>
      <c r="B8" s="37" t="n">
        <v>46342</v>
      </c>
      <c r="C8" s="37" t="n">
        <v>46348</v>
      </c>
      <c r="D8" s="38" t="s">
        <v>78</v>
      </c>
      <c r="E8" s="36" t="n">
        <f aca="false">SUM(課表!F41:F47)</f>
        <v>53</v>
      </c>
      <c r="F8" s="36" t="n">
        <f aca="false">MAX(課表!F41:F47)</f>
        <v>30</v>
      </c>
      <c r="G8" s="36" t="n">
        <f aca="false">SUM(課表!J41:J47)</f>
        <v>0</v>
      </c>
      <c r="H8" s="39" t="n">
        <f aca="false">IF(E8=0,"",G8/E8)</f>
        <v>0</v>
      </c>
      <c r="I8" s="38" t="s">
        <v>123</v>
      </c>
    </row>
    <row r="9" customFormat="false" ht="15" hidden="false" customHeight="true" outlineLevel="0" collapsed="false">
      <c r="A9" s="36" t="n">
        <v>8</v>
      </c>
      <c r="B9" s="37" t="n">
        <v>46349</v>
      </c>
      <c r="C9" s="37" t="n">
        <v>46355</v>
      </c>
      <c r="D9" s="38" t="s">
        <v>78</v>
      </c>
      <c r="E9" s="36" t="n">
        <f aca="false">SUM(課表!F48:F54)</f>
        <v>37</v>
      </c>
      <c r="F9" s="36" t="n">
        <f aca="false">MAX(課表!F48:F54)</f>
        <v>20</v>
      </c>
      <c r="G9" s="36" t="n">
        <f aca="false">SUM(課表!J48:J54)</f>
        <v>0</v>
      </c>
      <c r="H9" s="39" t="n">
        <f aca="false">IF(E9=0,"",G9/E9)</f>
        <v>0</v>
      </c>
      <c r="I9" s="38" t="s">
        <v>124</v>
      </c>
    </row>
    <row r="10" customFormat="false" ht="15" hidden="false" customHeight="true" outlineLevel="0" collapsed="false">
      <c r="A10" s="36" t="n">
        <v>9</v>
      </c>
      <c r="B10" s="37" t="n">
        <v>46356</v>
      </c>
      <c r="C10" s="37" t="n">
        <v>46362</v>
      </c>
      <c r="D10" s="38" t="s">
        <v>94</v>
      </c>
      <c r="E10" s="36" t="n">
        <f aca="false">SUM(課表!F55:F61)</f>
        <v>33</v>
      </c>
      <c r="F10" s="36" t="n">
        <f aca="false">MAX(課表!F55:F61)</f>
        <v>14</v>
      </c>
      <c r="G10" s="36" t="n">
        <f aca="false">SUM(課表!J55:J61)</f>
        <v>0</v>
      </c>
      <c r="H10" s="39" t="n">
        <f aca="false">IF(E10=0,"",G10/E10)</f>
        <v>0</v>
      </c>
      <c r="I10" s="40" t="s">
        <v>125</v>
      </c>
    </row>
    <row r="11" customFormat="false" ht="15" hidden="false" customHeight="true" outlineLevel="0" collapsed="false">
      <c r="A11" s="36" t="n">
        <v>10</v>
      </c>
      <c r="B11" s="37" t="n">
        <v>46363</v>
      </c>
      <c r="C11" s="37" t="n">
        <v>46369</v>
      </c>
      <c r="D11" s="38" t="s">
        <v>94</v>
      </c>
      <c r="E11" s="36" t="n">
        <f aca="false">SUM(課表!F62:F68)</f>
        <v>15</v>
      </c>
      <c r="F11" s="36" t="n">
        <f aca="false">MAX(課表!F62:F68)</f>
        <v>6</v>
      </c>
      <c r="G11" s="36" t="n">
        <f aca="false">SUM(課表!J62:J68)</f>
        <v>0</v>
      </c>
      <c r="H11" s="39" t="n">
        <f aca="false">IF(E11=0,"",G11/E11)</f>
        <v>0</v>
      </c>
      <c r="I11" s="40" t="s">
        <v>126</v>
      </c>
    </row>
    <row r="12" customFormat="false" ht="15" hidden="false" customHeight="true" outlineLevel="0" collapsed="false">
      <c r="A12" s="36" t="n">
        <v>11</v>
      </c>
      <c r="B12" s="37" t="n">
        <v>46370</v>
      </c>
      <c r="C12" s="37" t="n">
        <v>46370</v>
      </c>
      <c r="D12" s="38" t="s">
        <v>103</v>
      </c>
      <c r="E12" s="36" t="n">
        <f aca="false">SUM(課表!F69:F69)</f>
        <v>42.195</v>
      </c>
      <c r="F12" s="36" t="n">
        <f aca="false">MAX(課表!F69:F69)</f>
        <v>42.195</v>
      </c>
      <c r="G12" s="36" t="n">
        <f aca="false">SUM(課表!J69:J69)</f>
        <v>0</v>
      </c>
      <c r="H12" s="39" t="n">
        <f aca="false">IF(E12=0,"",G12/E12)</f>
        <v>0</v>
      </c>
      <c r="I12" s="40" t="s">
        <v>127</v>
      </c>
    </row>
    <row r="14" customFormat="false" ht="15" hidden="false" customHeight="true" outlineLevel="0" collapsed="false">
      <c r="D14" s="41" t="s">
        <v>128</v>
      </c>
      <c r="E14" s="41" t="n">
        <f aca="false">SUM(E2:E12)</f>
        <v>401.195</v>
      </c>
      <c r="G14" s="41" t="n">
        <f aca="false">SUM(G2:G12)</f>
        <v>7.27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2026-10-07T04:41:17Z</dcterms:created>
  <dc:creator>openpyxl</dc:creator>
  <dc:description/>
  <dc:language>en-US</dc:language>
  <cp:lastModifiedBy/>
  <dcterms:modified xsi:type="dcterms:W3CDTF">2026-10-08T15:36:33Z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